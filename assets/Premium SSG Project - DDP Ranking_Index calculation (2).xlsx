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Summary" sheetId="2" r:id="rId6"/>
    <sheet state="visible" name="Dept. 1" sheetId="3" r:id="rId7"/>
    <sheet state="visible" name="Dept. 2" sheetId="4" r:id="rId8"/>
    <sheet state="visible" name="Dept. 3" sheetId="5" r:id="rId9"/>
    <sheet state="visible" name="Dept. 4" sheetId="6" r:id="rId10"/>
  </sheets>
  <definedNames/>
  <calcPr/>
</workbook>
</file>

<file path=xl/sharedStrings.xml><?xml version="1.0" encoding="utf-8"?>
<sst xmlns="http://schemas.openxmlformats.org/spreadsheetml/2006/main" count="409" uniqueCount="73">
  <si>
    <t>Journal Publications (SCI / WoS)</t>
  </si>
  <si>
    <t>Journal Publications (Scopus)</t>
  </si>
  <si>
    <t>Research Funding, Rs. in Lakhs</t>
  </si>
  <si>
    <t>Industrial Consultancy Projects, Rs in Lakhs</t>
  </si>
  <si>
    <t>Patent Publications</t>
  </si>
  <si>
    <t>National Conference</t>
  </si>
  <si>
    <t>International Conference</t>
  </si>
  <si>
    <t>Guest Lecture by Industry</t>
  </si>
  <si>
    <t>Lecture by Alumni</t>
  </si>
  <si>
    <t>Workshop / Seminar / OBT* / In-House Training*</t>
  </si>
  <si>
    <t>MOOC / NPTEL / E-Content Development</t>
  </si>
  <si>
    <t>Guest Lecture delivered</t>
  </si>
  <si>
    <t>MoU signed</t>
  </si>
  <si>
    <t>International MoU signed</t>
  </si>
  <si>
    <t>Invite New Companies for Student Placements</t>
  </si>
  <si>
    <t>Placement Targets</t>
  </si>
  <si>
    <t>Industry Collaborative / Supporting / Sponsored Lab</t>
  </si>
  <si>
    <t>Inviting Scientists / Experts from a Reputed Research Laboratory</t>
  </si>
  <si>
    <t>Collaborative initiatives in funding, Consultancy, Patents, &amp; Publications</t>
  </si>
  <si>
    <t>FDP / STTP Organised</t>
  </si>
  <si>
    <t>Partial Delivery of Courses</t>
  </si>
  <si>
    <t>Certificate / Value-Added Courses / PS</t>
  </si>
  <si>
    <t>Industrial Visits / Field Visits</t>
  </si>
  <si>
    <t>Skill upgradation of Non-teaching staff (Outside)</t>
  </si>
  <si>
    <t>Department Newsletter and Technical Magazine</t>
  </si>
  <si>
    <t>Technical event / Hackathon Participation (Student's Participation)</t>
  </si>
  <si>
    <t>Commercial Product development</t>
  </si>
  <si>
    <t>Technical Society</t>
  </si>
  <si>
    <t>Technical Society / Professional Bodies Membership</t>
  </si>
  <si>
    <t>Publication in Conferences</t>
  </si>
  <si>
    <t>Online Courses (NPTEL)</t>
  </si>
  <si>
    <t>FDP / STTP attending / Faculty Internship / Industrial training</t>
  </si>
  <si>
    <t>Professional Competency</t>
  </si>
  <si>
    <t>Technical Competency</t>
  </si>
  <si>
    <t>Based on FAP targets</t>
  </si>
  <si>
    <t>1 / Department</t>
  </si>
  <si>
    <t>1 / Cluster</t>
  </si>
  <si>
    <t>1 / 60 intake / Semester</t>
  </si>
  <si>
    <t>20% of Faculty Members / Department</t>
  </si>
  <si>
    <t>5 / 60 Intake / Year</t>
  </si>
  <si>
    <t>15 Students / 60 Intake</t>
  </si>
  <si>
    <t>2 / 60 intake / Department</t>
  </si>
  <si>
    <t>1 / Semester</t>
  </si>
  <si>
    <t>2 / Department
Targeting 50% of II &amp; III Year Students</t>
  </si>
  <si>
    <t>For 60 intake,
I year - 1 / Year
II year - 1 / Year
III year - 1 / Year</t>
  </si>
  <si>
    <t>60% / Department / Domain area</t>
  </si>
  <si>
    <t>30% of Students Strength</t>
  </si>
  <si>
    <t>1 Product / Department</t>
  </si>
  <si>
    <t>2 / Department</t>
  </si>
  <si>
    <t>All Student Members of the Respective Societies</t>
  </si>
  <si>
    <t>S. No.</t>
  </si>
  <si>
    <t>Dept.</t>
  </si>
  <si>
    <t>Target</t>
  </si>
  <si>
    <t>Achieved</t>
  </si>
  <si>
    <t>Base Index</t>
  </si>
  <si>
    <t>Additional Weighted Index</t>
  </si>
  <si>
    <t>Capped Bonus
(Max.: 1.05)</t>
  </si>
  <si>
    <t>Normalized Bonus 
(Max.: 1.05)</t>
  </si>
  <si>
    <t>Dept. 1</t>
  </si>
  <si>
    <t>Dept. 2</t>
  </si>
  <si>
    <t>Dept. 3</t>
  </si>
  <si>
    <t>Dept. 4</t>
  </si>
  <si>
    <t>Particulars</t>
  </si>
  <si>
    <t>Weightage (in %)</t>
  </si>
  <si>
    <t>Index</t>
  </si>
  <si>
    <t>Additional Index</t>
  </si>
  <si>
    <t>Actual</t>
  </si>
  <si>
    <t>Permitted</t>
  </si>
  <si>
    <t>Workshop / Seminar / OBT / In-House Training</t>
  </si>
  <si>
    <t>Sum</t>
  </si>
  <si>
    <t>-</t>
  </si>
  <si>
    <t>Overall Weighted Index</t>
  </si>
  <si>
    <t>Capped Bonus - Final Index (Max.: 1.05)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</si>
</sst>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0">
    <font>
      <sz val="10.0"/>
      <color rgb="FF000000"/>
      <name val="Arial"/>
      <scheme val="minor"/>
    </font>
    <font>
      <b/>
      <color theme="1"/>
      <name val="Verdana"/>
    </font>
    <font>
      <color theme="1"/>
      <name val="Verdana"/>
    </font>
    <font>
      <b/>
      <sz val="15.0"/>
      <color theme="1"/>
      <name val="Arial"/>
    </font>
    <font>
      <b/>
      <sz val="15.0"/>
      <color rgb="FFFFFFFF"/>
      <name val="Arial"/>
    </font>
    <font>
      <sz val="15.0"/>
      <color theme="1"/>
      <name val="Arial"/>
    </font>
    <font>
      <b/>
      <sz val="10.0"/>
      <color theme="1"/>
      <name val="Verdana"/>
    </font>
    <font/>
    <font>
      <b/>
      <sz val="9.0"/>
      <color theme="1"/>
      <name val="Verdana"/>
    </font>
    <font>
      <sz val="10.0"/>
      <color theme="1"/>
      <name val="Verdana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5" numFmtId="3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3" numFmtId="4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6" fontId="3" numFmtId="4" xfId="0" applyAlignment="1" applyBorder="1" applyFill="1" applyFont="1" applyNumberFormat="1">
      <alignment horizontal="center" vertical="center"/>
    </xf>
    <xf borderId="1" fillId="7" fontId="3" numFmtId="4" xfId="0" applyAlignment="1" applyBorder="1" applyFill="1" applyFont="1" applyNumberFormat="1">
      <alignment horizontal="center" shrinkToFit="0" vertical="center" wrapText="1"/>
    </xf>
    <xf borderId="2" fillId="8" fontId="6" numFmtId="0" xfId="0" applyAlignment="1" applyBorder="1" applyFill="1" applyFont="1">
      <alignment horizontal="center" shrinkToFit="0" vertical="center" wrapText="1"/>
    </xf>
    <xf borderId="3" fillId="8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2" fillId="8" fontId="8" numFmtId="0" xfId="0" applyAlignment="1" applyBorder="1" applyFont="1">
      <alignment horizontal="center" shrinkToFit="0" vertical="center" wrapText="1"/>
    </xf>
    <xf borderId="5" fillId="8" fontId="6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5" fillId="8" fontId="8" numFmtId="0" xfId="0" applyAlignment="1" applyBorder="1" applyFont="1">
      <alignment horizontal="center" shrinkToFit="0" vertical="center" wrapText="1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" fillId="8" fontId="6" numFmtId="0" xfId="0" applyAlignment="1" applyBorder="1" applyFont="1">
      <alignment horizontal="center" shrinkToFit="0" vertical="center" wrapText="1"/>
    </xf>
    <xf borderId="1" fillId="9" fontId="9" numFmtId="0" xfId="0" applyAlignment="1" applyBorder="1" applyFill="1" applyFont="1">
      <alignment horizontal="center" shrinkToFit="0" vertical="center" wrapText="1"/>
    </xf>
    <xf borderId="1" fillId="9" fontId="9" numFmtId="0" xfId="0" applyAlignment="1" applyBorder="1" applyFont="1">
      <alignment horizontal="left" shrinkToFit="0" vertical="center" wrapText="1"/>
    </xf>
    <xf borderId="1" fillId="9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4" xfId="0" applyAlignment="1" applyBorder="1" applyFont="1" applyNumberFormat="1">
      <alignment horizontal="center" vertical="center"/>
    </xf>
    <xf borderId="5" fillId="8" fontId="6" numFmtId="0" xfId="0" applyAlignment="1" applyBorder="1" applyFont="1">
      <alignment horizontal="right" shrinkToFit="0" vertical="center" wrapText="1"/>
    </xf>
    <xf borderId="10" fillId="0" fontId="7" numFmtId="0" xfId="0" applyBorder="1" applyFont="1"/>
    <xf borderId="1" fillId="8" fontId="6" numFmtId="0" xfId="0" applyAlignment="1" applyBorder="1" applyFont="1">
      <alignment horizontal="center" vertical="center"/>
    </xf>
    <xf borderId="1" fillId="8" fontId="6" numFmtId="3" xfId="0" applyAlignment="1" applyBorder="1" applyFont="1" applyNumberFormat="1">
      <alignment horizontal="center" vertical="center"/>
    </xf>
    <xf borderId="1" fillId="8" fontId="6" numFmtId="4" xfId="0" applyAlignment="1" applyBorder="1" applyFont="1" applyNumberFormat="1">
      <alignment horizontal="center" vertical="center"/>
    </xf>
    <xf borderId="5" fillId="10" fontId="1" numFmtId="0" xfId="0" applyAlignment="1" applyBorder="1" applyFill="1" applyFont="1">
      <alignment horizontal="right"/>
    </xf>
    <xf borderId="1" fillId="10" fontId="6" numFmtId="4" xfId="0" applyAlignment="1" applyBorder="1" applyFont="1" applyNumberFormat="1">
      <alignment horizontal="center" vertical="center"/>
    </xf>
    <xf borderId="1" fillId="10" fontId="6" numFmtId="164" xfId="0" applyAlignment="1" applyBorder="1" applyFont="1" applyNumberFormat="1">
      <alignment horizontal="center" vertical="center"/>
    </xf>
    <xf borderId="5" fillId="10" fontId="6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0" max="10" width="15.63"/>
    <col customWidth="1" min="17" max="17" width="15.75"/>
    <col customWidth="1" min="18" max="18" width="17.38"/>
    <col customWidth="1" min="19" max="19" width="19.25"/>
    <col customWidth="1" min="24" max="24" width="17.63"/>
    <col customWidth="1" min="26" max="26" width="20.38"/>
    <col customWidth="1" min="29" max="29" width="16.88"/>
    <col customWidth="1" min="32" max="32" width="17.63"/>
  </cols>
  <sheetData>
    <row r="1" ht="15.75" customHeight="1">
      <c r="A1" s="1">
        <v>1.0</v>
      </c>
      <c r="B1" s="1">
        <v>2.0</v>
      </c>
      <c r="C1" s="1">
        <v>3.0</v>
      </c>
      <c r="D1" s="1">
        <v>4.0</v>
      </c>
      <c r="E1" s="1">
        <v>5.0</v>
      </c>
      <c r="F1" s="1">
        <v>6.0</v>
      </c>
      <c r="G1" s="1">
        <v>7.0</v>
      </c>
      <c r="H1" s="1">
        <v>8.0</v>
      </c>
      <c r="I1" s="1">
        <v>9.0</v>
      </c>
      <c r="J1" s="1">
        <v>10.0</v>
      </c>
      <c r="K1" s="1">
        <v>11.0</v>
      </c>
      <c r="L1" s="1">
        <v>12.0</v>
      </c>
      <c r="M1" s="1">
        <v>13.0</v>
      </c>
      <c r="N1" s="1">
        <v>14.0</v>
      </c>
      <c r="O1" s="1">
        <v>15.0</v>
      </c>
      <c r="P1" s="1">
        <v>16.0</v>
      </c>
      <c r="Q1" s="1">
        <v>17.0</v>
      </c>
      <c r="R1" s="1">
        <v>18.0</v>
      </c>
      <c r="S1" s="1">
        <v>19.0</v>
      </c>
      <c r="T1" s="1">
        <v>20.0</v>
      </c>
      <c r="U1" s="1">
        <v>21.0</v>
      </c>
      <c r="V1" s="1">
        <v>22.0</v>
      </c>
      <c r="W1" s="1">
        <v>23.0</v>
      </c>
      <c r="X1" s="1">
        <v>24.0</v>
      </c>
      <c r="Y1" s="1">
        <v>25.0</v>
      </c>
      <c r="Z1" s="1">
        <v>26.0</v>
      </c>
      <c r="AA1" s="1">
        <v>27.0</v>
      </c>
      <c r="AB1" s="1">
        <v>28.0</v>
      </c>
      <c r="AC1" s="1">
        <v>29.0</v>
      </c>
      <c r="AD1" s="1">
        <v>30.0</v>
      </c>
      <c r="AE1" s="1">
        <v>31.0</v>
      </c>
      <c r="AF1" s="1">
        <v>32.0</v>
      </c>
      <c r="AG1" s="1">
        <v>33.0</v>
      </c>
      <c r="AH1" s="1">
        <v>34.0</v>
      </c>
    </row>
    <row r="2" ht="15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</row>
    <row r="3" ht="15.75" customHeight="1">
      <c r="A3" s="2" t="s">
        <v>34</v>
      </c>
      <c r="B3" s="2" t="s">
        <v>34</v>
      </c>
      <c r="C3" s="2" t="s">
        <v>34</v>
      </c>
      <c r="D3" s="2" t="s">
        <v>34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37</v>
      </c>
      <c r="J3" s="2" t="s">
        <v>37</v>
      </c>
      <c r="K3" s="2" t="s">
        <v>35</v>
      </c>
      <c r="L3" s="2" t="s">
        <v>38</v>
      </c>
      <c r="M3" s="2" t="s">
        <v>35</v>
      </c>
      <c r="N3" s="2" t="s">
        <v>36</v>
      </c>
      <c r="O3" s="2" t="s">
        <v>39</v>
      </c>
      <c r="P3" s="2" t="s">
        <v>40</v>
      </c>
      <c r="Q3" s="2" t="s">
        <v>35</v>
      </c>
      <c r="R3" s="2" t="s">
        <v>35</v>
      </c>
      <c r="S3" s="2" t="s">
        <v>41</v>
      </c>
      <c r="T3" s="2" t="s">
        <v>35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42</v>
      </c>
      <c r="Z3" s="2" t="s">
        <v>46</v>
      </c>
      <c r="AA3" s="2" t="s">
        <v>47</v>
      </c>
      <c r="AB3" s="2" t="s">
        <v>48</v>
      </c>
      <c r="AC3" s="2" t="s">
        <v>49</v>
      </c>
      <c r="AD3" s="2" t="s">
        <v>34</v>
      </c>
      <c r="AE3" s="2" t="s">
        <v>34</v>
      </c>
      <c r="AF3" s="2" t="s">
        <v>34</v>
      </c>
      <c r="AG3" s="2" t="s">
        <v>34</v>
      </c>
      <c r="AH3" s="2" t="s">
        <v>34</v>
      </c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5.63"/>
    <col customWidth="1" min="3" max="3" width="14.63"/>
    <col customWidth="1" min="4" max="4" width="15.75"/>
    <col customWidth="1" min="5" max="5" width="18.25"/>
    <col customWidth="1" min="6" max="6" width="17.63"/>
    <col customWidth="1" hidden="1" min="7" max="7" width="17.38"/>
    <col customWidth="1" min="8" max="8" width="18.0"/>
  </cols>
  <sheetData>
    <row r="1" ht="15.75" customHeight="1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4" t="s">
        <v>56</v>
      </c>
      <c r="H1" s="5" t="s">
        <v>57</v>
      </c>
    </row>
    <row r="2" ht="31.5" customHeight="1">
      <c r="A2" s="6">
        <v>1.0</v>
      </c>
      <c r="B2" s="7" t="s">
        <v>58</v>
      </c>
      <c r="C2" s="8">
        <f t="shared" ref="C2:C5" si="1">indirect($B2&amp;"!E36")</f>
        <v>1051</v>
      </c>
      <c r="D2" s="9">
        <f t="shared" ref="D2:D5" si="2">indirect($B2&amp;"!F36")</f>
        <v>683</v>
      </c>
      <c r="E2" s="10">
        <f t="shared" ref="E2:E5" si="3">indirect($B2&amp;"!H37")</f>
        <v>0.7997108429</v>
      </c>
      <c r="F2" s="11">
        <f t="shared" ref="F2:F5" si="4">indirect($B2&amp;"!J37")</f>
        <v>0.05666666667</v>
      </c>
      <c r="G2" s="12">
        <f t="shared" ref="G2:G5" si="5">indirect($B2&amp;"!H38")</f>
        <v>0.8497108429</v>
      </c>
      <c r="H2" s="13">
        <f t="shared" ref="H2:H5" si="6">E2+(F2*0.05)/MAX($F$2:$F$5)</f>
        <v>0.8201358197</v>
      </c>
    </row>
    <row r="3" ht="31.5" customHeight="1">
      <c r="A3" s="7">
        <v>2.0</v>
      </c>
      <c r="B3" s="7" t="s">
        <v>59</v>
      </c>
      <c r="C3" s="8">
        <f t="shared" si="1"/>
        <v>1051</v>
      </c>
      <c r="D3" s="9">
        <f t="shared" si="2"/>
        <v>602</v>
      </c>
      <c r="E3" s="10">
        <f t="shared" si="3"/>
        <v>0.720359366</v>
      </c>
      <c r="F3" s="11">
        <f t="shared" si="4"/>
        <v>0.1387190476</v>
      </c>
      <c r="G3" s="12">
        <f t="shared" si="5"/>
        <v>0.770359366</v>
      </c>
      <c r="H3" s="13">
        <f t="shared" si="6"/>
        <v>0.770359366</v>
      </c>
    </row>
    <row r="4" ht="31.5" customHeight="1">
      <c r="A4" s="7">
        <v>3.0</v>
      </c>
      <c r="B4" s="7" t="s">
        <v>60</v>
      </c>
      <c r="C4" s="8">
        <f t="shared" si="1"/>
        <v>1051</v>
      </c>
      <c r="D4" s="9">
        <f t="shared" si="2"/>
        <v>672</v>
      </c>
      <c r="E4" s="10">
        <f t="shared" si="3"/>
        <v>0.7997108429</v>
      </c>
      <c r="F4" s="11">
        <f t="shared" si="4"/>
        <v>0</v>
      </c>
      <c r="G4" s="12">
        <f t="shared" si="5"/>
        <v>0.7997108429</v>
      </c>
      <c r="H4" s="13">
        <f t="shared" si="6"/>
        <v>0.7997108429</v>
      </c>
    </row>
    <row r="5" ht="31.5" customHeight="1">
      <c r="A5" s="7">
        <v>4.0</v>
      </c>
      <c r="B5" s="7" t="s">
        <v>61</v>
      </c>
      <c r="C5" s="8">
        <f t="shared" si="1"/>
        <v>1051</v>
      </c>
      <c r="D5" s="9">
        <f t="shared" si="2"/>
        <v>706</v>
      </c>
      <c r="E5" s="10">
        <f t="shared" si="3"/>
        <v>0.8427108429</v>
      </c>
      <c r="F5" s="11">
        <f t="shared" si="4"/>
        <v>0.05476190476</v>
      </c>
      <c r="G5" s="12">
        <f t="shared" si="5"/>
        <v>0.8927108429</v>
      </c>
      <c r="H5" s="13">
        <f t="shared" si="6"/>
        <v>0.8624492659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13"/>
    <col customWidth="1" min="2" max="2" width="39.75"/>
    <col customWidth="1" hidden="1" min="3" max="3" width="34.25"/>
    <col customWidth="1" min="4" max="10" width="10.25"/>
  </cols>
  <sheetData>
    <row r="1" ht="15.75" customHeight="1">
      <c r="A1" s="14" t="s">
        <v>50</v>
      </c>
      <c r="B1" s="15" t="s">
        <v>62</v>
      </c>
      <c r="C1" s="16"/>
      <c r="D1" s="17" t="s">
        <v>63</v>
      </c>
      <c r="E1" s="14" t="s">
        <v>52</v>
      </c>
      <c r="F1" s="14" t="s">
        <v>53</v>
      </c>
      <c r="G1" s="18" t="s">
        <v>64</v>
      </c>
      <c r="H1" s="19"/>
      <c r="I1" s="20" t="s">
        <v>65</v>
      </c>
      <c r="J1" s="19"/>
    </row>
    <row r="2" ht="15.75" customHeight="1">
      <c r="A2" s="21"/>
      <c r="B2" s="22"/>
      <c r="C2" s="23"/>
      <c r="D2" s="21"/>
      <c r="E2" s="21"/>
      <c r="F2" s="21"/>
      <c r="G2" s="24" t="s">
        <v>66</v>
      </c>
      <c r="H2" s="24" t="s">
        <v>67</v>
      </c>
      <c r="I2" s="24" t="s">
        <v>66</v>
      </c>
      <c r="J2" s="24" t="s">
        <v>67</v>
      </c>
    </row>
    <row r="3" ht="15.75" customHeight="1">
      <c r="A3" s="25">
        <f t="shared" ref="A3:A35" si="1">Row()-2</f>
        <v>1</v>
      </c>
      <c r="B3" s="26" t="s">
        <v>0</v>
      </c>
      <c r="C3" s="26" t="s">
        <v>34</v>
      </c>
      <c r="D3" s="27">
        <v>10.0</v>
      </c>
      <c r="E3" s="28">
        <v>21.0</v>
      </c>
      <c r="F3" s="29">
        <v>21.0</v>
      </c>
      <c r="G3" s="30">
        <f t="shared" ref="G3:G36" si="2">F3/E3</f>
        <v>1</v>
      </c>
      <c r="H3" s="30">
        <f t="shared" ref="H3:H36" si="3">iferror(if(G3&gt;1,1,G3),"")</f>
        <v>1</v>
      </c>
      <c r="I3" s="30" t="str">
        <f t="shared" ref="I3:I35" si="4">if(G3&gt;1,G3-1,"")</f>
        <v/>
      </c>
      <c r="J3" s="30" t="str">
        <f t="shared" ref="J3:J35" si="5">if(I3/1&gt;1,1,I3)</f>
        <v/>
      </c>
    </row>
    <row r="4" ht="15.75" customHeight="1">
      <c r="A4" s="25">
        <f t="shared" si="1"/>
        <v>2</v>
      </c>
      <c r="B4" s="26" t="s">
        <v>1</v>
      </c>
      <c r="C4" s="26" t="s">
        <v>34</v>
      </c>
      <c r="D4" s="27">
        <v>6.0</v>
      </c>
      <c r="E4" s="28">
        <v>71.0</v>
      </c>
      <c r="F4" s="28">
        <v>69.0</v>
      </c>
      <c r="G4" s="30">
        <f t="shared" si="2"/>
        <v>0.9718309859</v>
      </c>
      <c r="H4" s="30">
        <f t="shared" si="3"/>
        <v>0.9718309859</v>
      </c>
      <c r="I4" s="30" t="str">
        <f t="shared" si="4"/>
        <v/>
      </c>
      <c r="J4" s="30" t="str">
        <f t="shared" si="5"/>
        <v/>
      </c>
    </row>
    <row r="5" ht="15.75" customHeight="1">
      <c r="A5" s="25">
        <f t="shared" si="1"/>
        <v>3</v>
      </c>
      <c r="B5" s="26" t="s">
        <v>2</v>
      </c>
      <c r="C5" s="26" t="s">
        <v>34</v>
      </c>
      <c r="D5" s="27">
        <v>8.0</v>
      </c>
      <c r="E5" s="28">
        <v>60.0</v>
      </c>
      <c r="F5" s="28">
        <v>65.0</v>
      </c>
      <c r="G5" s="30">
        <f t="shared" si="2"/>
        <v>1.083333333</v>
      </c>
      <c r="H5" s="30">
        <f t="shared" si="3"/>
        <v>1</v>
      </c>
      <c r="I5" s="30">
        <f t="shared" si="4"/>
        <v>0.08333333333</v>
      </c>
      <c r="J5" s="30">
        <f t="shared" si="5"/>
        <v>0.08333333333</v>
      </c>
    </row>
    <row r="6" ht="15.75" customHeight="1">
      <c r="A6" s="25">
        <f t="shared" si="1"/>
        <v>4</v>
      </c>
      <c r="B6" s="26" t="s">
        <v>3</v>
      </c>
      <c r="C6" s="26" t="s">
        <v>34</v>
      </c>
      <c r="D6" s="27">
        <v>5.0</v>
      </c>
      <c r="E6" s="28">
        <v>12.0</v>
      </c>
      <c r="F6" s="28">
        <v>10.0</v>
      </c>
      <c r="G6" s="30">
        <f t="shared" si="2"/>
        <v>0.8333333333</v>
      </c>
      <c r="H6" s="30">
        <f t="shared" si="3"/>
        <v>0.8333333333</v>
      </c>
      <c r="I6" s="30" t="str">
        <f t="shared" si="4"/>
        <v/>
      </c>
      <c r="J6" s="30" t="str">
        <f t="shared" si="5"/>
        <v/>
      </c>
    </row>
    <row r="7" ht="15.75" customHeight="1">
      <c r="A7" s="25">
        <f t="shared" si="1"/>
        <v>5</v>
      </c>
      <c r="B7" s="26" t="s">
        <v>4</v>
      </c>
      <c r="C7" s="26" t="s">
        <v>34</v>
      </c>
      <c r="D7" s="27">
        <v>3.0</v>
      </c>
      <c r="E7" s="28">
        <v>25.0</v>
      </c>
      <c r="F7" s="28">
        <v>15.0</v>
      </c>
      <c r="G7" s="30">
        <f t="shared" si="2"/>
        <v>0.6</v>
      </c>
      <c r="H7" s="30">
        <f t="shared" si="3"/>
        <v>0.6</v>
      </c>
      <c r="I7" s="30" t="str">
        <f t="shared" si="4"/>
        <v/>
      </c>
      <c r="J7" s="30" t="str">
        <f t="shared" si="5"/>
        <v/>
      </c>
    </row>
    <row r="8" ht="15.75" customHeight="1">
      <c r="A8" s="25">
        <f t="shared" si="1"/>
        <v>6</v>
      </c>
      <c r="B8" s="26" t="s">
        <v>5</v>
      </c>
      <c r="C8" s="26" t="s">
        <v>35</v>
      </c>
      <c r="D8" s="27">
        <v>2.0</v>
      </c>
      <c r="E8" s="28">
        <v>1.0</v>
      </c>
      <c r="F8" s="28">
        <v>4.0</v>
      </c>
      <c r="G8" s="30">
        <f t="shared" si="2"/>
        <v>4</v>
      </c>
      <c r="H8" s="30">
        <f t="shared" si="3"/>
        <v>1</v>
      </c>
      <c r="I8" s="30">
        <f t="shared" si="4"/>
        <v>3</v>
      </c>
      <c r="J8" s="30">
        <f t="shared" si="5"/>
        <v>1</v>
      </c>
    </row>
    <row r="9" ht="15.75" customHeight="1">
      <c r="A9" s="25">
        <f t="shared" si="1"/>
        <v>7</v>
      </c>
      <c r="B9" s="26" t="s">
        <v>6</v>
      </c>
      <c r="C9" s="26" t="s">
        <v>36</v>
      </c>
      <c r="D9" s="27">
        <v>5.0</v>
      </c>
      <c r="E9" s="28">
        <v>1.0</v>
      </c>
      <c r="F9" s="28">
        <v>1.0</v>
      </c>
      <c r="G9" s="30">
        <f t="shared" si="2"/>
        <v>1</v>
      </c>
      <c r="H9" s="30">
        <f t="shared" si="3"/>
        <v>1</v>
      </c>
      <c r="I9" s="30" t="str">
        <f t="shared" si="4"/>
        <v/>
      </c>
      <c r="J9" s="30" t="str">
        <f t="shared" si="5"/>
        <v/>
      </c>
    </row>
    <row r="10" ht="15.75" customHeight="1">
      <c r="A10" s="25">
        <f t="shared" si="1"/>
        <v>8</v>
      </c>
      <c r="B10" s="26" t="s">
        <v>7</v>
      </c>
      <c r="C10" s="26" t="s">
        <v>37</v>
      </c>
      <c r="D10" s="27">
        <v>3.0</v>
      </c>
      <c r="E10" s="28">
        <v>12.0</v>
      </c>
      <c r="F10" s="28">
        <v>8.0</v>
      </c>
      <c r="G10" s="30">
        <f t="shared" si="2"/>
        <v>0.6666666667</v>
      </c>
      <c r="H10" s="30">
        <f t="shared" si="3"/>
        <v>0.6666666667</v>
      </c>
      <c r="I10" s="30" t="str">
        <f t="shared" si="4"/>
        <v/>
      </c>
      <c r="J10" s="30" t="str">
        <f t="shared" si="5"/>
        <v/>
      </c>
    </row>
    <row r="11" ht="15.75" customHeight="1">
      <c r="A11" s="25">
        <f t="shared" si="1"/>
        <v>9</v>
      </c>
      <c r="B11" s="26" t="s">
        <v>8</v>
      </c>
      <c r="C11" s="26" t="s">
        <v>37</v>
      </c>
      <c r="D11" s="27">
        <v>2.0</v>
      </c>
      <c r="E11" s="28">
        <v>12.0</v>
      </c>
      <c r="F11" s="28">
        <v>9.0</v>
      </c>
      <c r="G11" s="30">
        <f t="shared" si="2"/>
        <v>0.75</v>
      </c>
      <c r="H11" s="30">
        <f t="shared" si="3"/>
        <v>0.75</v>
      </c>
      <c r="I11" s="30" t="str">
        <f t="shared" si="4"/>
        <v/>
      </c>
      <c r="J11" s="30" t="str">
        <f t="shared" si="5"/>
        <v/>
      </c>
    </row>
    <row r="12" ht="15.75" customHeight="1">
      <c r="A12" s="25">
        <f t="shared" si="1"/>
        <v>10</v>
      </c>
      <c r="B12" s="26" t="s">
        <v>68</v>
      </c>
      <c r="C12" s="26" t="s">
        <v>37</v>
      </c>
      <c r="D12" s="27">
        <v>3.0</v>
      </c>
      <c r="E12" s="28">
        <v>12.0</v>
      </c>
      <c r="F12" s="28">
        <v>10.0</v>
      </c>
      <c r="G12" s="30">
        <f t="shared" si="2"/>
        <v>0.8333333333</v>
      </c>
      <c r="H12" s="30">
        <f t="shared" si="3"/>
        <v>0.8333333333</v>
      </c>
      <c r="I12" s="30" t="str">
        <f t="shared" si="4"/>
        <v/>
      </c>
      <c r="J12" s="30" t="str">
        <f t="shared" si="5"/>
        <v/>
      </c>
    </row>
    <row r="13" ht="15.75" customHeight="1">
      <c r="A13" s="25">
        <f t="shared" si="1"/>
        <v>11</v>
      </c>
      <c r="B13" s="26" t="s">
        <v>10</v>
      </c>
      <c r="C13" s="26" t="s">
        <v>35</v>
      </c>
      <c r="D13" s="27">
        <v>2.0</v>
      </c>
      <c r="E13" s="28">
        <v>1.0</v>
      </c>
      <c r="F13" s="28">
        <v>3.0</v>
      </c>
      <c r="G13" s="30">
        <f t="shared" si="2"/>
        <v>3</v>
      </c>
      <c r="H13" s="30">
        <f t="shared" si="3"/>
        <v>1</v>
      </c>
      <c r="I13" s="30">
        <f t="shared" si="4"/>
        <v>2</v>
      </c>
      <c r="J13" s="30">
        <f t="shared" si="5"/>
        <v>1</v>
      </c>
    </row>
    <row r="14" ht="15.75" customHeight="1">
      <c r="A14" s="25">
        <f t="shared" si="1"/>
        <v>12</v>
      </c>
      <c r="B14" s="26" t="s">
        <v>11</v>
      </c>
      <c r="C14" s="26" t="s">
        <v>38</v>
      </c>
      <c r="D14" s="27">
        <v>2.0</v>
      </c>
      <c r="E14" s="28">
        <v>9.0</v>
      </c>
      <c r="F14" s="28">
        <v>8.0</v>
      </c>
      <c r="G14" s="30">
        <f t="shared" si="2"/>
        <v>0.8888888889</v>
      </c>
      <c r="H14" s="30">
        <f t="shared" si="3"/>
        <v>0.8888888889</v>
      </c>
      <c r="I14" s="30" t="str">
        <f t="shared" si="4"/>
        <v/>
      </c>
      <c r="J14" s="30" t="str">
        <f t="shared" si="5"/>
        <v/>
      </c>
    </row>
    <row r="15" ht="15.75" customHeight="1">
      <c r="A15" s="25">
        <f t="shared" si="1"/>
        <v>13</v>
      </c>
      <c r="B15" s="26" t="s">
        <v>12</v>
      </c>
      <c r="C15" s="26" t="s">
        <v>35</v>
      </c>
      <c r="D15" s="27">
        <v>2.0</v>
      </c>
      <c r="E15" s="28">
        <v>1.0</v>
      </c>
      <c r="F15" s="28">
        <v>1.0</v>
      </c>
      <c r="G15" s="30">
        <f t="shared" si="2"/>
        <v>1</v>
      </c>
      <c r="H15" s="30">
        <f t="shared" si="3"/>
        <v>1</v>
      </c>
      <c r="I15" s="30" t="str">
        <f t="shared" si="4"/>
        <v/>
      </c>
      <c r="J15" s="30" t="str">
        <f t="shared" si="5"/>
        <v/>
      </c>
    </row>
    <row r="16" ht="15.75" customHeight="1">
      <c r="A16" s="25">
        <f t="shared" si="1"/>
        <v>14</v>
      </c>
      <c r="B16" s="26" t="s">
        <v>13</v>
      </c>
      <c r="C16" s="26" t="s">
        <v>36</v>
      </c>
      <c r="D16" s="27">
        <v>3.0</v>
      </c>
      <c r="E16" s="28">
        <v>1.0</v>
      </c>
      <c r="F16" s="28">
        <v>1.0</v>
      </c>
      <c r="G16" s="30">
        <f t="shared" si="2"/>
        <v>1</v>
      </c>
      <c r="H16" s="30">
        <f t="shared" si="3"/>
        <v>1</v>
      </c>
      <c r="I16" s="30" t="str">
        <f t="shared" si="4"/>
        <v/>
      </c>
      <c r="J16" s="30" t="str">
        <f t="shared" si="5"/>
        <v/>
      </c>
    </row>
    <row r="17" ht="15.75" customHeight="1">
      <c r="A17" s="25">
        <f t="shared" si="1"/>
        <v>15</v>
      </c>
      <c r="B17" s="26" t="s">
        <v>14</v>
      </c>
      <c r="C17" s="26" t="s">
        <v>39</v>
      </c>
      <c r="D17" s="27">
        <v>6.0</v>
      </c>
      <c r="E17" s="28">
        <v>20.0</v>
      </c>
      <c r="F17" s="28">
        <v>19.0</v>
      </c>
      <c r="G17" s="30">
        <f t="shared" si="2"/>
        <v>0.95</v>
      </c>
      <c r="H17" s="30">
        <f t="shared" si="3"/>
        <v>0.95</v>
      </c>
      <c r="I17" s="30" t="str">
        <f t="shared" si="4"/>
        <v/>
      </c>
      <c r="J17" s="30" t="str">
        <f t="shared" si="5"/>
        <v/>
      </c>
    </row>
    <row r="18" ht="15.75" customHeight="1">
      <c r="A18" s="25">
        <f t="shared" si="1"/>
        <v>16</v>
      </c>
      <c r="B18" s="26" t="s">
        <v>15</v>
      </c>
      <c r="C18" s="26" t="s">
        <v>40</v>
      </c>
      <c r="D18" s="27">
        <v>6.0</v>
      </c>
      <c r="E18" s="28">
        <v>60.0</v>
      </c>
      <c r="F18" s="28">
        <v>7.0</v>
      </c>
      <c r="G18" s="30">
        <f t="shared" si="2"/>
        <v>0.1166666667</v>
      </c>
      <c r="H18" s="30">
        <f t="shared" si="3"/>
        <v>0.1166666667</v>
      </c>
      <c r="I18" s="30" t="str">
        <f t="shared" si="4"/>
        <v/>
      </c>
      <c r="J18" s="30" t="str">
        <f t="shared" si="5"/>
        <v/>
      </c>
    </row>
    <row r="19" ht="15.75" customHeight="1">
      <c r="A19" s="25">
        <f t="shared" si="1"/>
        <v>17</v>
      </c>
      <c r="B19" s="26" t="s">
        <v>16</v>
      </c>
      <c r="C19" s="26" t="s">
        <v>35</v>
      </c>
      <c r="D19" s="27">
        <v>2.0</v>
      </c>
      <c r="E19" s="28">
        <v>1.0</v>
      </c>
      <c r="F19" s="28">
        <v>1.0</v>
      </c>
      <c r="G19" s="30">
        <f t="shared" si="2"/>
        <v>1</v>
      </c>
      <c r="H19" s="30">
        <f t="shared" si="3"/>
        <v>1</v>
      </c>
      <c r="I19" s="30" t="str">
        <f t="shared" si="4"/>
        <v/>
      </c>
      <c r="J19" s="30" t="str">
        <f t="shared" si="5"/>
        <v/>
      </c>
    </row>
    <row r="20" ht="15.75" customHeight="1">
      <c r="A20" s="25">
        <f t="shared" si="1"/>
        <v>18</v>
      </c>
      <c r="B20" s="26" t="s">
        <v>17</v>
      </c>
      <c r="C20" s="26" t="s">
        <v>35</v>
      </c>
      <c r="D20" s="27">
        <v>2.0</v>
      </c>
      <c r="E20" s="28">
        <v>1.0</v>
      </c>
      <c r="F20" s="28">
        <v>0.0</v>
      </c>
      <c r="G20" s="30">
        <f t="shared" si="2"/>
        <v>0</v>
      </c>
      <c r="H20" s="30">
        <f t="shared" si="3"/>
        <v>0</v>
      </c>
      <c r="I20" s="30" t="str">
        <f t="shared" si="4"/>
        <v/>
      </c>
      <c r="J20" s="30" t="str">
        <f t="shared" si="5"/>
        <v/>
      </c>
    </row>
    <row r="21" ht="15.75" customHeight="1">
      <c r="A21" s="25">
        <f t="shared" si="1"/>
        <v>19</v>
      </c>
      <c r="B21" s="26" t="s">
        <v>18</v>
      </c>
      <c r="C21" s="26" t="s">
        <v>41</v>
      </c>
      <c r="D21" s="27">
        <v>3.0</v>
      </c>
      <c r="E21" s="28">
        <v>3.0</v>
      </c>
      <c r="F21" s="28">
        <v>4.0</v>
      </c>
      <c r="G21" s="30">
        <f t="shared" si="2"/>
        <v>1.333333333</v>
      </c>
      <c r="H21" s="30">
        <f t="shared" si="3"/>
        <v>1</v>
      </c>
      <c r="I21" s="30">
        <f t="shared" si="4"/>
        <v>0.3333333333</v>
      </c>
      <c r="J21" s="30">
        <f t="shared" si="5"/>
        <v>0.3333333333</v>
      </c>
    </row>
    <row r="22" ht="15.75" customHeight="1">
      <c r="A22" s="25">
        <f t="shared" si="1"/>
        <v>20</v>
      </c>
      <c r="B22" s="26" t="s">
        <v>19</v>
      </c>
      <c r="C22" s="26" t="s">
        <v>35</v>
      </c>
      <c r="D22" s="27">
        <v>3.0</v>
      </c>
      <c r="E22" s="28">
        <v>1.0</v>
      </c>
      <c r="F22" s="28">
        <v>1.0</v>
      </c>
      <c r="G22" s="30">
        <f t="shared" si="2"/>
        <v>1</v>
      </c>
      <c r="H22" s="30">
        <f t="shared" si="3"/>
        <v>1</v>
      </c>
      <c r="I22" s="30" t="str">
        <f t="shared" si="4"/>
        <v/>
      </c>
      <c r="J22" s="30" t="str">
        <f t="shared" si="5"/>
        <v/>
      </c>
    </row>
    <row r="23" ht="15.75" customHeight="1">
      <c r="A23" s="25">
        <f t="shared" si="1"/>
        <v>21</v>
      </c>
      <c r="B23" s="26" t="s">
        <v>20</v>
      </c>
      <c r="C23" s="26" t="s">
        <v>42</v>
      </c>
      <c r="D23" s="27">
        <v>2.0</v>
      </c>
      <c r="E23" s="28">
        <v>2.0</v>
      </c>
      <c r="F23" s="28">
        <v>1.0</v>
      </c>
      <c r="G23" s="30">
        <f t="shared" si="2"/>
        <v>0.5</v>
      </c>
      <c r="H23" s="30">
        <f t="shared" si="3"/>
        <v>0.5</v>
      </c>
      <c r="I23" s="30" t="str">
        <f t="shared" si="4"/>
        <v/>
      </c>
      <c r="J23" s="30" t="str">
        <f t="shared" si="5"/>
        <v/>
      </c>
    </row>
    <row r="24" ht="15.75" customHeight="1">
      <c r="A24" s="25">
        <f t="shared" si="1"/>
        <v>22</v>
      </c>
      <c r="B24" s="26" t="s">
        <v>21</v>
      </c>
      <c r="C24" s="26" t="s">
        <v>43</v>
      </c>
      <c r="D24" s="27">
        <v>2.0</v>
      </c>
      <c r="E24" s="28">
        <v>2.0</v>
      </c>
      <c r="F24" s="28">
        <v>0.0</v>
      </c>
      <c r="G24" s="30">
        <f t="shared" si="2"/>
        <v>0</v>
      </c>
      <c r="H24" s="30">
        <f t="shared" si="3"/>
        <v>0</v>
      </c>
      <c r="I24" s="30" t="str">
        <f t="shared" si="4"/>
        <v/>
      </c>
      <c r="J24" s="30" t="str">
        <f t="shared" si="5"/>
        <v/>
      </c>
    </row>
    <row r="25" ht="15.75" customHeight="1">
      <c r="A25" s="25">
        <f t="shared" si="1"/>
        <v>23</v>
      </c>
      <c r="B25" s="26" t="s">
        <v>23</v>
      </c>
      <c r="C25" s="26" t="s">
        <v>45</v>
      </c>
      <c r="D25" s="27">
        <v>2.0</v>
      </c>
      <c r="E25" s="28">
        <v>3.0</v>
      </c>
      <c r="F25" s="28">
        <v>2.0</v>
      </c>
      <c r="G25" s="30">
        <f t="shared" si="2"/>
        <v>0.6666666667</v>
      </c>
      <c r="H25" s="30">
        <f t="shared" si="3"/>
        <v>0.6666666667</v>
      </c>
      <c r="I25" s="30" t="str">
        <f t="shared" si="4"/>
        <v/>
      </c>
      <c r="J25" s="30" t="str">
        <f t="shared" si="5"/>
        <v/>
      </c>
    </row>
    <row r="26" ht="15.75" customHeight="1">
      <c r="A26" s="25">
        <f t="shared" si="1"/>
        <v>24</v>
      </c>
      <c r="B26" s="26" t="s">
        <v>24</v>
      </c>
      <c r="C26" s="26" t="s">
        <v>42</v>
      </c>
      <c r="D26" s="27">
        <v>1.0</v>
      </c>
      <c r="E26" s="28">
        <v>2.0</v>
      </c>
      <c r="F26" s="28">
        <v>1.0</v>
      </c>
      <c r="G26" s="30">
        <f t="shared" si="2"/>
        <v>0.5</v>
      </c>
      <c r="H26" s="30">
        <f t="shared" si="3"/>
        <v>0.5</v>
      </c>
      <c r="I26" s="30" t="str">
        <f t="shared" si="4"/>
        <v/>
      </c>
      <c r="J26" s="30" t="str">
        <f t="shared" si="5"/>
        <v/>
      </c>
    </row>
    <row r="27" ht="15.75" customHeight="1">
      <c r="A27" s="25">
        <f t="shared" si="1"/>
        <v>25</v>
      </c>
      <c r="B27" s="26" t="s">
        <v>25</v>
      </c>
      <c r="C27" s="26" t="s">
        <v>46</v>
      </c>
      <c r="D27" s="27">
        <v>3.0</v>
      </c>
      <c r="E27" s="28">
        <v>384.0</v>
      </c>
      <c r="F27" s="28">
        <v>150.0</v>
      </c>
      <c r="G27" s="30">
        <f t="shared" si="2"/>
        <v>0.390625</v>
      </c>
      <c r="H27" s="30">
        <f t="shared" si="3"/>
        <v>0.390625</v>
      </c>
      <c r="I27" s="30" t="str">
        <f t="shared" si="4"/>
        <v/>
      </c>
      <c r="J27" s="30" t="str">
        <f t="shared" si="5"/>
        <v/>
      </c>
    </row>
    <row r="28" ht="15.75" customHeight="1">
      <c r="A28" s="25">
        <f t="shared" si="1"/>
        <v>26</v>
      </c>
      <c r="B28" s="26" t="s">
        <v>26</v>
      </c>
      <c r="C28" s="26" t="s">
        <v>47</v>
      </c>
      <c r="D28" s="27">
        <v>2.0</v>
      </c>
      <c r="E28" s="28">
        <v>1.0</v>
      </c>
      <c r="F28" s="28">
        <v>1.0</v>
      </c>
      <c r="G28" s="30">
        <f t="shared" si="2"/>
        <v>1</v>
      </c>
      <c r="H28" s="30">
        <f t="shared" si="3"/>
        <v>1</v>
      </c>
      <c r="I28" s="30" t="str">
        <f t="shared" si="4"/>
        <v/>
      </c>
      <c r="J28" s="30" t="str">
        <f t="shared" si="5"/>
        <v/>
      </c>
    </row>
    <row r="29" ht="15.75" customHeight="1">
      <c r="A29" s="25">
        <f t="shared" si="1"/>
        <v>27</v>
      </c>
      <c r="B29" s="26" t="s">
        <v>27</v>
      </c>
      <c r="C29" s="26" t="s">
        <v>48</v>
      </c>
      <c r="D29" s="27">
        <v>1.0</v>
      </c>
      <c r="E29" s="28">
        <v>2.0</v>
      </c>
      <c r="F29" s="28">
        <v>1.0</v>
      </c>
      <c r="G29" s="30">
        <f t="shared" si="2"/>
        <v>0.5</v>
      </c>
      <c r="H29" s="30">
        <f t="shared" si="3"/>
        <v>0.5</v>
      </c>
      <c r="I29" s="30" t="str">
        <f t="shared" si="4"/>
        <v/>
      </c>
      <c r="J29" s="30" t="str">
        <f t="shared" si="5"/>
        <v/>
      </c>
    </row>
    <row r="30" ht="15.75" customHeight="1">
      <c r="A30" s="25">
        <f t="shared" si="1"/>
        <v>28</v>
      </c>
      <c r="B30" s="26" t="s">
        <v>28</v>
      </c>
      <c r="C30" s="26" t="s">
        <v>49</v>
      </c>
      <c r="D30" s="27">
        <v>1.0</v>
      </c>
      <c r="E30" s="28">
        <v>100.0</v>
      </c>
      <c r="F30" s="28">
        <v>80.0</v>
      </c>
      <c r="G30" s="30">
        <f t="shared" si="2"/>
        <v>0.8</v>
      </c>
      <c r="H30" s="30">
        <f t="shared" si="3"/>
        <v>0.8</v>
      </c>
      <c r="I30" s="30" t="str">
        <f t="shared" si="4"/>
        <v/>
      </c>
      <c r="J30" s="30" t="str">
        <f t="shared" si="5"/>
        <v/>
      </c>
    </row>
    <row r="31" ht="15.75" customHeight="1">
      <c r="A31" s="25">
        <f t="shared" si="1"/>
        <v>29</v>
      </c>
      <c r="B31" s="26" t="s">
        <v>29</v>
      </c>
      <c r="C31" s="26" t="s">
        <v>34</v>
      </c>
      <c r="D31" s="27">
        <v>2.0</v>
      </c>
      <c r="E31" s="28">
        <v>34.0</v>
      </c>
      <c r="F31" s="28">
        <v>30.0</v>
      </c>
      <c r="G31" s="30">
        <f t="shared" si="2"/>
        <v>0.8823529412</v>
      </c>
      <c r="H31" s="30">
        <f t="shared" si="3"/>
        <v>0.8823529412</v>
      </c>
      <c r="I31" s="30" t="str">
        <f t="shared" si="4"/>
        <v/>
      </c>
      <c r="J31" s="30" t="str">
        <f t="shared" si="5"/>
        <v/>
      </c>
    </row>
    <row r="32" ht="15.75" customHeight="1">
      <c r="A32" s="25">
        <f t="shared" si="1"/>
        <v>30</v>
      </c>
      <c r="B32" s="26" t="s">
        <v>30</v>
      </c>
      <c r="C32" s="26" t="s">
        <v>34</v>
      </c>
      <c r="D32" s="27">
        <v>2.0</v>
      </c>
      <c r="E32" s="28">
        <v>75.0</v>
      </c>
      <c r="F32" s="28">
        <v>70.0</v>
      </c>
      <c r="G32" s="30">
        <f t="shared" si="2"/>
        <v>0.9333333333</v>
      </c>
      <c r="H32" s="30">
        <f t="shared" si="3"/>
        <v>0.9333333333</v>
      </c>
      <c r="I32" s="30" t="str">
        <f t="shared" si="4"/>
        <v/>
      </c>
      <c r="J32" s="30" t="str">
        <f t="shared" si="5"/>
        <v/>
      </c>
    </row>
    <row r="33" ht="15.75" customHeight="1">
      <c r="A33" s="25">
        <f t="shared" si="1"/>
        <v>31</v>
      </c>
      <c r="B33" s="26" t="s">
        <v>31</v>
      </c>
      <c r="C33" s="26" t="s">
        <v>34</v>
      </c>
      <c r="D33" s="27">
        <v>2.0</v>
      </c>
      <c r="E33" s="28">
        <v>46.0</v>
      </c>
      <c r="F33" s="28">
        <v>40.0</v>
      </c>
      <c r="G33" s="30">
        <f t="shared" si="2"/>
        <v>0.8695652174</v>
      </c>
      <c r="H33" s="30">
        <f t="shared" si="3"/>
        <v>0.8695652174</v>
      </c>
      <c r="I33" s="30" t="str">
        <f t="shared" si="4"/>
        <v/>
      </c>
      <c r="J33" s="30" t="str">
        <f t="shared" si="5"/>
        <v/>
      </c>
    </row>
    <row r="34" ht="15.75" customHeight="1">
      <c r="A34" s="25">
        <f t="shared" si="1"/>
        <v>32</v>
      </c>
      <c r="B34" s="26" t="s">
        <v>32</v>
      </c>
      <c r="C34" s="26" t="s">
        <v>34</v>
      </c>
      <c r="D34" s="27">
        <v>1.0</v>
      </c>
      <c r="E34" s="28">
        <v>34.0</v>
      </c>
      <c r="F34" s="28">
        <v>20.0</v>
      </c>
      <c r="G34" s="30">
        <f t="shared" si="2"/>
        <v>0.5882352941</v>
      </c>
      <c r="H34" s="30">
        <f t="shared" si="3"/>
        <v>0.5882352941</v>
      </c>
      <c r="I34" s="30" t="str">
        <f t="shared" si="4"/>
        <v/>
      </c>
      <c r="J34" s="30" t="str">
        <f t="shared" si="5"/>
        <v/>
      </c>
    </row>
    <row r="35" ht="15.75" customHeight="1">
      <c r="A35" s="25">
        <f t="shared" si="1"/>
        <v>33</v>
      </c>
      <c r="B35" s="26" t="s">
        <v>33</v>
      </c>
      <c r="C35" s="26" t="s">
        <v>34</v>
      </c>
      <c r="D35" s="27">
        <v>1.0</v>
      </c>
      <c r="E35" s="28">
        <v>41.0</v>
      </c>
      <c r="F35" s="28">
        <v>30.0</v>
      </c>
      <c r="G35" s="30">
        <f t="shared" si="2"/>
        <v>0.7317073171</v>
      </c>
      <c r="H35" s="30">
        <f t="shared" si="3"/>
        <v>0.7317073171</v>
      </c>
      <c r="I35" s="30" t="str">
        <f t="shared" si="4"/>
        <v/>
      </c>
      <c r="J35" s="30" t="str">
        <f t="shared" si="5"/>
        <v/>
      </c>
    </row>
    <row r="36" ht="15.75" customHeight="1">
      <c r="A36" s="31" t="s">
        <v>69</v>
      </c>
      <c r="B36" s="32"/>
      <c r="C36" s="19"/>
      <c r="D36" s="33">
        <f t="shared" ref="D36:F36" si="6">SUM(D3:D35)</f>
        <v>100</v>
      </c>
      <c r="E36" s="34">
        <f t="shared" si="6"/>
        <v>1051</v>
      </c>
      <c r="F36" s="33">
        <f t="shared" si="6"/>
        <v>683</v>
      </c>
      <c r="G36" s="35">
        <f t="shared" si="2"/>
        <v>0.6498572788</v>
      </c>
      <c r="H36" s="35">
        <f t="shared" si="3"/>
        <v>0.6498572788</v>
      </c>
      <c r="I36" s="35" t="s">
        <v>70</v>
      </c>
      <c r="J36" s="35" t="s">
        <v>70</v>
      </c>
    </row>
    <row r="37" ht="15.75" customHeight="1">
      <c r="A37" s="36" t="s">
        <v>71</v>
      </c>
      <c r="B37" s="32"/>
      <c r="C37" s="32"/>
      <c r="D37" s="32"/>
      <c r="E37" s="32"/>
      <c r="F37" s="32"/>
      <c r="G37" s="19"/>
      <c r="H37" s="37">
        <f>sumproduct(D3:D35,H3:H35)/D36</f>
        <v>0.7997108429</v>
      </c>
      <c r="I37" s="38" t="s">
        <v>70</v>
      </c>
      <c r="J37" s="38">
        <f>sumproduct(D3:D35,J3:J35)/D36</f>
        <v>0.05666666667</v>
      </c>
    </row>
    <row r="38" ht="15.75" customHeight="1">
      <c r="A38" s="36" t="s">
        <v>72</v>
      </c>
      <c r="B38" s="32"/>
      <c r="C38" s="32"/>
      <c r="D38" s="32"/>
      <c r="E38" s="32"/>
      <c r="F38" s="32"/>
      <c r="G38" s="19"/>
      <c r="H38" s="39">
        <f>H37+min(J37,0.05)</f>
        <v>0.8497108429</v>
      </c>
      <c r="I38" s="32"/>
      <c r="J38" s="1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6:C36"/>
    <mergeCell ref="A37:G37"/>
    <mergeCell ref="A38:G38"/>
    <mergeCell ref="H38:J38"/>
    <mergeCell ref="A1:A2"/>
    <mergeCell ref="B1:C2"/>
    <mergeCell ref="D1:D2"/>
    <mergeCell ref="E1:E2"/>
    <mergeCell ref="F1:F2"/>
    <mergeCell ref="G1:H1"/>
    <mergeCell ref="I1:J1"/>
  </mergeCells>
  <conditionalFormatting sqref="G3:G35">
    <cfRule type="cellIs" dxfId="0" priority="1" operator="greaterThan">
      <formula>1</formula>
    </cfRule>
  </conditionalFormatting>
  <conditionalFormatting sqref="H3:H35">
    <cfRule type="expression" dxfId="0" priority="2">
      <formula>H3&lt;G3</formula>
    </cfRule>
  </conditionalFormatting>
  <conditionalFormatting sqref="H3:H35">
    <cfRule type="cellIs" dxfId="1" priority="3" operator="equal">
      <formula>1</formula>
    </cfRule>
  </conditionalFormatting>
  <conditionalFormatting sqref="G3:G35">
    <cfRule type="cellIs" dxfId="1" priority="4" operator="equal">
      <formula>1</formula>
    </cfRule>
  </conditionalFormatting>
  <conditionalFormatting sqref="J3:J35">
    <cfRule type="expression" dxfId="2" priority="5">
      <formula>J3&lt;I3</formula>
    </cfRule>
  </conditionalFormatting>
  <conditionalFormatting sqref="I3:I35">
    <cfRule type="cellIs" dxfId="3" priority="6" operator="greaterThan">
      <formula>1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13"/>
    <col customWidth="1" min="2" max="2" width="39.75"/>
    <col customWidth="1" hidden="1" min="3" max="3" width="34.25"/>
    <col customWidth="1" min="4" max="10" width="10.25"/>
  </cols>
  <sheetData>
    <row r="1" ht="15.75" customHeight="1">
      <c r="A1" s="14" t="s">
        <v>50</v>
      </c>
      <c r="B1" s="15" t="s">
        <v>62</v>
      </c>
      <c r="C1" s="16"/>
      <c r="D1" s="17" t="s">
        <v>63</v>
      </c>
      <c r="E1" s="14" t="s">
        <v>52</v>
      </c>
      <c r="F1" s="14" t="s">
        <v>53</v>
      </c>
      <c r="G1" s="18" t="s">
        <v>64</v>
      </c>
      <c r="H1" s="19"/>
      <c r="I1" s="20" t="s">
        <v>65</v>
      </c>
      <c r="J1" s="19"/>
    </row>
    <row r="2" ht="15.75" customHeight="1">
      <c r="A2" s="21"/>
      <c r="B2" s="22"/>
      <c r="C2" s="23"/>
      <c r="D2" s="21"/>
      <c r="E2" s="21"/>
      <c r="F2" s="21"/>
      <c r="G2" s="24" t="s">
        <v>66</v>
      </c>
      <c r="H2" s="24" t="s">
        <v>67</v>
      </c>
      <c r="I2" s="24" t="s">
        <v>66</v>
      </c>
      <c r="J2" s="24" t="s">
        <v>67</v>
      </c>
    </row>
    <row r="3" ht="15.75" customHeight="1">
      <c r="A3" s="25">
        <f t="shared" ref="A3:A35" si="1">Row()-2</f>
        <v>1</v>
      </c>
      <c r="B3" s="26" t="s">
        <v>0</v>
      </c>
      <c r="C3" s="26" t="s">
        <v>34</v>
      </c>
      <c r="D3" s="27">
        <v>10.0</v>
      </c>
      <c r="E3" s="28">
        <v>21.0</v>
      </c>
      <c r="F3" s="28">
        <v>24.0</v>
      </c>
      <c r="G3" s="30">
        <f t="shared" ref="G3:G36" si="2">F3/E3</f>
        <v>1.142857143</v>
      </c>
      <c r="H3" s="30">
        <f t="shared" ref="H3:H36" si="3">iferror(if(G3&gt;1,1,G3),"")</f>
        <v>1</v>
      </c>
      <c r="I3" s="30">
        <f t="shared" ref="I3:I35" si="4">if(G3&gt;1,G3-1,"")</f>
        <v>0.1428571429</v>
      </c>
      <c r="J3" s="30">
        <f t="shared" ref="J3:J35" si="5">if(I3/1&gt;1,1,I3)</f>
        <v>0.1428571429</v>
      </c>
    </row>
    <row r="4" ht="15.75" customHeight="1">
      <c r="A4" s="25">
        <f t="shared" si="1"/>
        <v>2</v>
      </c>
      <c r="B4" s="26" t="s">
        <v>1</v>
      </c>
      <c r="C4" s="26" t="s">
        <v>34</v>
      </c>
      <c r="D4" s="27">
        <v>6.0</v>
      </c>
      <c r="E4" s="28">
        <v>71.0</v>
      </c>
      <c r="F4" s="28">
        <v>50.0</v>
      </c>
      <c r="G4" s="30">
        <f t="shared" si="2"/>
        <v>0.7042253521</v>
      </c>
      <c r="H4" s="30">
        <f t="shared" si="3"/>
        <v>0.7042253521</v>
      </c>
      <c r="I4" s="30" t="str">
        <f t="shared" si="4"/>
        <v/>
      </c>
      <c r="J4" s="30" t="str">
        <f t="shared" si="5"/>
        <v/>
      </c>
    </row>
    <row r="5" ht="15.75" customHeight="1">
      <c r="A5" s="25">
        <f t="shared" si="1"/>
        <v>3</v>
      </c>
      <c r="B5" s="26" t="s">
        <v>2</v>
      </c>
      <c r="C5" s="26" t="s">
        <v>34</v>
      </c>
      <c r="D5" s="27">
        <v>8.0</v>
      </c>
      <c r="E5" s="28">
        <v>60.0</v>
      </c>
      <c r="F5" s="28">
        <v>50.0</v>
      </c>
      <c r="G5" s="30">
        <f t="shared" si="2"/>
        <v>0.8333333333</v>
      </c>
      <c r="H5" s="30">
        <f t="shared" si="3"/>
        <v>0.8333333333</v>
      </c>
      <c r="I5" s="30" t="str">
        <f t="shared" si="4"/>
        <v/>
      </c>
      <c r="J5" s="30" t="str">
        <f t="shared" si="5"/>
        <v/>
      </c>
    </row>
    <row r="6" ht="15.75" customHeight="1">
      <c r="A6" s="25">
        <f t="shared" si="1"/>
        <v>4</v>
      </c>
      <c r="B6" s="26" t="s">
        <v>3</v>
      </c>
      <c r="C6" s="26" t="s">
        <v>34</v>
      </c>
      <c r="D6" s="27">
        <v>5.0</v>
      </c>
      <c r="E6" s="28">
        <v>12.0</v>
      </c>
      <c r="F6" s="28">
        <v>14.0</v>
      </c>
      <c r="G6" s="30">
        <f t="shared" si="2"/>
        <v>1.166666667</v>
      </c>
      <c r="H6" s="30">
        <f t="shared" si="3"/>
        <v>1</v>
      </c>
      <c r="I6" s="30">
        <f t="shared" si="4"/>
        <v>0.1666666667</v>
      </c>
      <c r="J6" s="30">
        <f t="shared" si="5"/>
        <v>0.1666666667</v>
      </c>
    </row>
    <row r="7" ht="15.75" customHeight="1">
      <c r="A7" s="25">
        <f t="shared" si="1"/>
        <v>5</v>
      </c>
      <c r="B7" s="26" t="s">
        <v>4</v>
      </c>
      <c r="C7" s="26" t="s">
        <v>34</v>
      </c>
      <c r="D7" s="27">
        <v>3.0</v>
      </c>
      <c r="E7" s="28">
        <v>25.0</v>
      </c>
      <c r="F7" s="28">
        <v>28.0</v>
      </c>
      <c r="G7" s="30">
        <f t="shared" si="2"/>
        <v>1.12</v>
      </c>
      <c r="H7" s="30">
        <f t="shared" si="3"/>
        <v>1</v>
      </c>
      <c r="I7" s="30">
        <f t="shared" si="4"/>
        <v>0.12</v>
      </c>
      <c r="J7" s="30">
        <f t="shared" si="5"/>
        <v>0.12</v>
      </c>
    </row>
    <row r="8" ht="15.75" customHeight="1">
      <c r="A8" s="25">
        <f t="shared" si="1"/>
        <v>6</v>
      </c>
      <c r="B8" s="26" t="s">
        <v>5</v>
      </c>
      <c r="C8" s="26" t="s">
        <v>35</v>
      </c>
      <c r="D8" s="27">
        <v>2.0</v>
      </c>
      <c r="E8" s="28">
        <v>1.0</v>
      </c>
      <c r="F8" s="28">
        <v>6.0</v>
      </c>
      <c r="G8" s="30">
        <f t="shared" si="2"/>
        <v>6</v>
      </c>
      <c r="H8" s="30">
        <f t="shared" si="3"/>
        <v>1</v>
      </c>
      <c r="I8" s="30">
        <f t="shared" si="4"/>
        <v>5</v>
      </c>
      <c r="J8" s="30">
        <f t="shared" si="5"/>
        <v>1</v>
      </c>
    </row>
    <row r="9" ht="15.75" customHeight="1">
      <c r="A9" s="25">
        <f t="shared" si="1"/>
        <v>7</v>
      </c>
      <c r="B9" s="26" t="s">
        <v>6</v>
      </c>
      <c r="C9" s="26" t="s">
        <v>36</v>
      </c>
      <c r="D9" s="27">
        <v>5.0</v>
      </c>
      <c r="E9" s="28">
        <v>1.0</v>
      </c>
      <c r="F9" s="28">
        <v>2.0</v>
      </c>
      <c r="G9" s="30">
        <f t="shared" si="2"/>
        <v>2</v>
      </c>
      <c r="H9" s="30">
        <f t="shared" si="3"/>
        <v>1</v>
      </c>
      <c r="I9" s="30">
        <f t="shared" si="4"/>
        <v>1</v>
      </c>
      <c r="J9" s="30">
        <f t="shared" si="5"/>
        <v>1</v>
      </c>
    </row>
    <row r="10" ht="15.75" customHeight="1">
      <c r="A10" s="25">
        <f t="shared" si="1"/>
        <v>8</v>
      </c>
      <c r="B10" s="26" t="s">
        <v>7</v>
      </c>
      <c r="C10" s="26" t="s">
        <v>37</v>
      </c>
      <c r="D10" s="27">
        <v>3.0</v>
      </c>
      <c r="E10" s="28">
        <v>12.0</v>
      </c>
      <c r="F10" s="28">
        <v>7.0</v>
      </c>
      <c r="G10" s="30">
        <f t="shared" si="2"/>
        <v>0.5833333333</v>
      </c>
      <c r="H10" s="30">
        <f t="shared" si="3"/>
        <v>0.5833333333</v>
      </c>
      <c r="I10" s="30" t="str">
        <f t="shared" si="4"/>
        <v/>
      </c>
      <c r="J10" s="30" t="str">
        <f t="shared" si="5"/>
        <v/>
      </c>
    </row>
    <row r="11" ht="15.75" customHeight="1">
      <c r="A11" s="25">
        <f t="shared" si="1"/>
        <v>9</v>
      </c>
      <c r="B11" s="26" t="s">
        <v>8</v>
      </c>
      <c r="C11" s="26" t="s">
        <v>37</v>
      </c>
      <c r="D11" s="27">
        <v>2.0</v>
      </c>
      <c r="E11" s="28">
        <v>12.0</v>
      </c>
      <c r="F11" s="28">
        <v>9.0</v>
      </c>
      <c r="G11" s="30">
        <f t="shared" si="2"/>
        <v>0.75</v>
      </c>
      <c r="H11" s="30">
        <f t="shared" si="3"/>
        <v>0.75</v>
      </c>
      <c r="I11" s="30" t="str">
        <f t="shared" si="4"/>
        <v/>
      </c>
      <c r="J11" s="30" t="str">
        <f t="shared" si="5"/>
        <v/>
      </c>
    </row>
    <row r="12" ht="15.75" customHeight="1">
      <c r="A12" s="25">
        <f t="shared" si="1"/>
        <v>10</v>
      </c>
      <c r="B12" s="26" t="s">
        <v>68</v>
      </c>
      <c r="C12" s="26" t="s">
        <v>37</v>
      </c>
      <c r="D12" s="27">
        <v>3.0</v>
      </c>
      <c r="E12" s="28">
        <v>12.0</v>
      </c>
      <c r="F12" s="28">
        <v>13.0</v>
      </c>
      <c r="G12" s="30">
        <f t="shared" si="2"/>
        <v>1.083333333</v>
      </c>
      <c r="H12" s="30">
        <f t="shared" si="3"/>
        <v>1</v>
      </c>
      <c r="I12" s="30">
        <f t="shared" si="4"/>
        <v>0.08333333333</v>
      </c>
      <c r="J12" s="30">
        <f t="shared" si="5"/>
        <v>0.08333333333</v>
      </c>
    </row>
    <row r="13" ht="15.75" customHeight="1">
      <c r="A13" s="25">
        <f t="shared" si="1"/>
        <v>11</v>
      </c>
      <c r="B13" s="26" t="s">
        <v>10</v>
      </c>
      <c r="C13" s="26" t="s">
        <v>35</v>
      </c>
      <c r="D13" s="27">
        <v>2.0</v>
      </c>
      <c r="E13" s="28">
        <v>1.0</v>
      </c>
      <c r="F13" s="28">
        <v>4.0</v>
      </c>
      <c r="G13" s="30">
        <f t="shared" si="2"/>
        <v>4</v>
      </c>
      <c r="H13" s="30">
        <f t="shared" si="3"/>
        <v>1</v>
      </c>
      <c r="I13" s="30">
        <f t="shared" si="4"/>
        <v>3</v>
      </c>
      <c r="J13" s="30">
        <f t="shared" si="5"/>
        <v>1</v>
      </c>
    </row>
    <row r="14" ht="15.75" customHeight="1">
      <c r="A14" s="25">
        <f t="shared" si="1"/>
        <v>12</v>
      </c>
      <c r="B14" s="26" t="s">
        <v>11</v>
      </c>
      <c r="C14" s="26" t="s">
        <v>38</v>
      </c>
      <c r="D14" s="27">
        <v>2.0</v>
      </c>
      <c r="E14" s="28">
        <v>9.0</v>
      </c>
      <c r="F14" s="28">
        <v>7.0</v>
      </c>
      <c r="G14" s="30">
        <f t="shared" si="2"/>
        <v>0.7777777778</v>
      </c>
      <c r="H14" s="30">
        <f t="shared" si="3"/>
        <v>0.7777777778</v>
      </c>
      <c r="I14" s="30" t="str">
        <f t="shared" si="4"/>
        <v/>
      </c>
      <c r="J14" s="30" t="str">
        <f t="shared" si="5"/>
        <v/>
      </c>
    </row>
    <row r="15" ht="15.75" customHeight="1">
      <c r="A15" s="25">
        <f t="shared" si="1"/>
        <v>13</v>
      </c>
      <c r="B15" s="26" t="s">
        <v>12</v>
      </c>
      <c r="C15" s="26" t="s">
        <v>35</v>
      </c>
      <c r="D15" s="27">
        <v>2.0</v>
      </c>
      <c r="E15" s="28">
        <v>1.0</v>
      </c>
      <c r="F15" s="28">
        <v>2.0</v>
      </c>
      <c r="G15" s="30">
        <f t="shared" si="2"/>
        <v>2</v>
      </c>
      <c r="H15" s="30">
        <f t="shared" si="3"/>
        <v>1</v>
      </c>
      <c r="I15" s="30">
        <f t="shared" si="4"/>
        <v>1</v>
      </c>
      <c r="J15" s="30">
        <f t="shared" si="5"/>
        <v>1</v>
      </c>
    </row>
    <row r="16" ht="15.75" customHeight="1">
      <c r="A16" s="25">
        <f t="shared" si="1"/>
        <v>14</v>
      </c>
      <c r="B16" s="26" t="s">
        <v>13</v>
      </c>
      <c r="C16" s="26" t="s">
        <v>36</v>
      </c>
      <c r="D16" s="27">
        <v>3.0</v>
      </c>
      <c r="E16" s="28">
        <v>1.0</v>
      </c>
      <c r="F16" s="28">
        <v>0.0</v>
      </c>
      <c r="G16" s="30">
        <f t="shared" si="2"/>
        <v>0</v>
      </c>
      <c r="H16" s="30">
        <f t="shared" si="3"/>
        <v>0</v>
      </c>
      <c r="I16" s="30" t="str">
        <f t="shared" si="4"/>
        <v/>
      </c>
      <c r="J16" s="30" t="str">
        <f t="shared" si="5"/>
        <v/>
      </c>
    </row>
    <row r="17" ht="15.75" customHeight="1">
      <c r="A17" s="25">
        <f t="shared" si="1"/>
        <v>15</v>
      </c>
      <c r="B17" s="26" t="s">
        <v>14</v>
      </c>
      <c r="C17" s="26" t="s">
        <v>39</v>
      </c>
      <c r="D17" s="27">
        <v>6.0</v>
      </c>
      <c r="E17" s="28">
        <v>20.0</v>
      </c>
      <c r="F17" s="28">
        <v>5.0</v>
      </c>
      <c r="G17" s="30">
        <f t="shared" si="2"/>
        <v>0.25</v>
      </c>
      <c r="H17" s="30">
        <f t="shared" si="3"/>
        <v>0.25</v>
      </c>
      <c r="I17" s="30" t="str">
        <f t="shared" si="4"/>
        <v/>
      </c>
      <c r="J17" s="30" t="str">
        <f t="shared" si="5"/>
        <v/>
      </c>
    </row>
    <row r="18" ht="15.75" customHeight="1">
      <c r="A18" s="25">
        <f t="shared" si="1"/>
        <v>16</v>
      </c>
      <c r="B18" s="26" t="s">
        <v>15</v>
      </c>
      <c r="C18" s="26" t="s">
        <v>40</v>
      </c>
      <c r="D18" s="27">
        <v>6.0</v>
      </c>
      <c r="E18" s="28">
        <v>60.0</v>
      </c>
      <c r="F18" s="28">
        <v>10.0</v>
      </c>
      <c r="G18" s="30">
        <f t="shared" si="2"/>
        <v>0.1666666667</v>
      </c>
      <c r="H18" s="30">
        <f t="shared" si="3"/>
        <v>0.1666666667</v>
      </c>
      <c r="I18" s="30" t="str">
        <f t="shared" si="4"/>
        <v/>
      </c>
      <c r="J18" s="30" t="str">
        <f t="shared" si="5"/>
        <v/>
      </c>
    </row>
    <row r="19" ht="15.75" customHeight="1">
      <c r="A19" s="25">
        <f t="shared" si="1"/>
        <v>17</v>
      </c>
      <c r="B19" s="26" t="s">
        <v>16</v>
      </c>
      <c r="C19" s="26" t="s">
        <v>35</v>
      </c>
      <c r="D19" s="27">
        <v>2.0</v>
      </c>
      <c r="E19" s="28">
        <v>1.0</v>
      </c>
      <c r="F19" s="28">
        <v>1.0</v>
      </c>
      <c r="G19" s="30">
        <f t="shared" si="2"/>
        <v>1</v>
      </c>
      <c r="H19" s="30">
        <f t="shared" si="3"/>
        <v>1</v>
      </c>
      <c r="I19" s="30" t="str">
        <f t="shared" si="4"/>
        <v/>
      </c>
      <c r="J19" s="30" t="str">
        <f t="shared" si="5"/>
        <v/>
      </c>
    </row>
    <row r="20" ht="15.75" customHeight="1">
      <c r="A20" s="25">
        <f t="shared" si="1"/>
        <v>18</v>
      </c>
      <c r="B20" s="26" t="s">
        <v>17</v>
      </c>
      <c r="C20" s="26" t="s">
        <v>35</v>
      </c>
      <c r="D20" s="27">
        <v>2.0</v>
      </c>
      <c r="E20" s="28">
        <v>1.0</v>
      </c>
      <c r="F20" s="28">
        <v>0.0</v>
      </c>
      <c r="G20" s="30">
        <f t="shared" si="2"/>
        <v>0</v>
      </c>
      <c r="H20" s="30">
        <f t="shared" si="3"/>
        <v>0</v>
      </c>
      <c r="I20" s="30" t="str">
        <f t="shared" si="4"/>
        <v/>
      </c>
      <c r="J20" s="30" t="str">
        <f t="shared" si="5"/>
        <v/>
      </c>
    </row>
    <row r="21" ht="15.75" customHeight="1">
      <c r="A21" s="25">
        <f t="shared" si="1"/>
        <v>19</v>
      </c>
      <c r="B21" s="26" t="s">
        <v>18</v>
      </c>
      <c r="C21" s="26" t="s">
        <v>41</v>
      </c>
      <c r="D21" s="27">
        <v>3.0</v>
      </c>
      <c r="E21" s="28">
        <v>3.0</v>
      </c>
      <c r="F21" s="28">
        <v>3.0</v>
      </c>
      <c r="G21" s="30">
        <f t="shared" si="2"/>
        <v>1</v>
      </c>
      <c r="H21" s="30">
        <f t="shared" si="3"/>
        <v>1</v>
      </c>
      <c r="I21" s="30" t="str">
        <f t="shared" si="4"/>
        <v/>
      </c>
      <c r="J21" s="30" t="str">
        <f t="shared" si="5"/>
        <v/>
      </c>
    </row>
    <row r="22" ht="15.75" customHeight="1">
      <c r="A22" s="25">
        <f t="shared" si="1"/>
        <v>20</v>
      </c>
      <c r="B22" s="26" t="s">
        <v>19</v>
      </c>
      <c r="C22" s="26" t="s">
        <v>35</v>
      </c>
      <c r="D22" s="27">
        <v>3.0</v>
      </c>
      <c r="E22" s="28">
        <v>1.0</v>
      </c>
      <c r="F22" s="28">
        <v>1.0</v>
      </c>
      <c r="G22" s="30">
        <f t="shared" si="2"/>
        <v>1</v>
      </c>
      <c r="H22" s="30">
        <f t="shared" si="3"/>
        <v>1</v>
      </c>
      <c r="I22" s="30" t="str">
        <f t="shared" si="4"/>
        <v/>
      </c>
      <c r="J22" s="30" t="str">
        <f t="shared" si="5"/>
        <v/>
      </c>
    </row>
    <row r="23" ht="15.75" customHeight="1">
      <c r="A23" s="25">
        <f t="shared" si="1"/>
        <v>21</v>
      </c>
      <c r="B23" s="26" t="s">
        <v>20</v>
      </c>
      <c r="C23" s="26" t="s">
        <v>42</v>
      </c>
      <c r="D23" s="27">
        <v>2.0</v>
      </c>
      <c r="E23" s="28">
        <v>2.0</v>
      </c>
      <c r="F23" s="28">
        <v>1.0</v>
      </c>
      <c r="G23" s="30">
        <f t="shared" si="2"/>
        <v>0.5</v>
      </c>
      <c r="H23" s="30">
        <f t="shared" si="3"/>
        <v>0.5</v>
      </c>
      <c r="I23" s="30" t="str">
        <f t="shared" si="4"/>
        <v/>
      </c>
      <c r="J23" s="30" t="str">
        <f t="shared" si="5"/>
        <v/>
      </c>
    </row>
    <row r="24" ht="15.75" customHeight="1">
      <c r="A24" s="25">
        <f t="shared" si="1"/>
        <v>22</v>
      </c>
      <c r="B24" s="26" t="s">
        <v>21</v>
      </c>
      <c r="C24" s="26" t="s">
        <v>43</v>
      </c>
      <c r="D24" s="27">
        <v>2.0</v>
      </c>
      <c r="E24" s="28">
        <v>2.0</v>
      </c>
      <c r="F24" s="28">
        <v>1.0</v>
      </c>
      <c r="G24" s="30">
        <f t="shared" si="2"/>
        <v>0.5</v>
      </c>
      <c r="H24" s="30">
        <f t="shared" si="3"/>
        <v>0.5</v>
      </c>
      <c r="I24" s="30" t="str">
        <f t="shared" si="4"/>
        <v/>
      </c>
      <c r="J24" s="30" t="str">
        <f t="shared" si="5"/>
        <v/>
      </c>
    </row>
    <row r="25" ht="15.75" customHeight="1">
      <c r="A25" s="25">
        <f t="shared" si="1"/>
        <v>23</v>
      </c>
      <c r="B25" s="26" t="s">
        <v>23</v>
      </c>
      <c r="C25" s="26" t="s">
        <v>45</v>
      </c>
      <c r="D25" s="27">
        <v>2.0</v>
      </c>
      <c r="E25" s="28">
        <v>3.0</v>
      </c>
      <c r="F25" s="28">
        <v>1.0</v>
      </c>
      <c r="G25" s="30">
        <f t="shared" si="2"/>
        <v>0.3333333333</v>
      </c>
      <c r="H25" s="30">
        <f t="shared" si="3"/>
        <v>0.3333333333</v>
      </c>
      <c r="I25" s="30" t="str">
        <f t="shared" si="4"/>
        <v/>
      </c>
      <c r="J25" s="30" t="str">
        <f t="shared" si="5"/>
        <v/>
      </c>
    </row>
    <row r="26" ht="15.75" customHeight="1">
      <c r="A26" s="25">
        <f t="shared" si="1"/>
        <v>24</v>
      </c>
      <c r="B26" s="26" t="s">
        <v>24</v>
      </c>
      <c r="C26" s="26" t="s">
        <v>42</v>
      </c>
      <c r="D26" s="27">
        <v>1.0</v>
      </c>
      <c r="E26" s="28">
        <v>2.0</v>
      </c>
      <c r="F26" s="28">
        <v>1.0</v>
      </c>
      <c r="G26" s="30">
        <f t="shared" si="2"/>
        <v>0.5</v>
      </c>
      <c r="H26" s="30">
        <f t="shared" si="3"/>
        <v>0.5</v>
      </c>
      <c r="I26" s="30" t="str">
        <f t="shared" si="4"/>
        <v/>
      </c>
      <c r="J26" s="30" t="str">
        <f t="shared" si="5"/>
        <v/>
      </c>
    </row>
    <row r="27" ht="15.75" customHeight="1">
      <c r="A27" s="25">
        <f t="shared" si="1"/>
        <v>25</v>
      </c>
      <c r="B27" s="26" t="s">
        <v>25</v>
      </c>
      <c r="C27" s="26" t="s">
        <v>46</v>
      </c>
      <c r="D27" s="27">
        <v>3.0</v>
      </c>
      <c r="E27" s="28">
        <v>384.0</v>
      </c>
      <c r="F27" s="28">
        <v>100.0</v>
      </c>
      <c r="G27" s="30">
        <f t="shared" si="2"/>
        <v>0.2604166667</v>
      </c>
      <c r="H27" s="30">
        <f t="shared" si="3"/>
        <v>0.2604166667</v>
      </c>
      <c r="I27" s="30" t="str">
        <f t="shared" si="4"/>
        <v/>
      </c>
      <c r="J27" s="30" t="str">
        <f t="shared" si="5"/>
        <v/>
      </c>
    </row>
    <row r="28" ht="15.75" customHeight="1">
      <c r="A28" s="25">
        <f t="shared" si="1"/>
        <v>26</v>
      </c>
      <c r="B28" s="26" t="s">
        <v>26</v>
      </c>
      <c r="C28" s="26" t="s">
        <v>47</v>
      </c>
      <c r="D28" s="27">
        <v>2.0</v>
      </c>
      <c r="E28" s="28">
        <v>1.0</v>
      </c>
      <c r="F28" s="28">
        <v>1.0</v>
      </c>
      <c r="G28" s="30">
        <f t="shared" si="2"/>
        <v>1</v>
      </c>
      <c r="H28" s="30">
        <f t="shared" si="3"/>
        <v>1</v>
      </c>
      <c r="I28" s="30" t="str">
        <f t="shared" si="4"/>
        <v/>
      </c>
      <c r="J28" s="30" t="str">
        <f t="shared" si="5"/>
        <v/>
      </c>
    </row>
    <row r="29" ht="15.75" customHeight="1">
      <c r="A29" s="25">
        <f t="shared" si="1"/>
        <v>27</v>
      </c>
      <c r="B29" s="26" t="s">
        <v>27</v>
      </c>
      <c r="C29" s="26" t="s">
        <v>48</v>
      </c>
      <c r="D29" s="27">
        <v>1.0</v>
      </c>
      <c r="E29" s="28">
        <v>2.0</v>
      </c>
      <c r="F29" s="28">
        <v>1.0</v>
      </c>
      <c r="G29" s="30">
        <f t="shared" si="2"/>
        <v>0.5</v>
      </c>
      <c r="H29" s="30">
        <f t="shared" si="3"/>
        <v>0.5</v>
      </c>
      <c r="I29" s="30" t="str">
        <f t="shared" si="4"/>
        <v/>
      </c>
      <c r="J29" s="30" t="str">
        <f t="shared" si="5"/>
        <v/>
      </c>
    </row>
    <row r="30" ht="15.75" customHeight="1">
      <c r="A30" s="25">
        <f t="shared" si="1"/>
        <v>28</v>
      </c>
      <c r="B30" s="26" t="s">
        <v>28</v>
      </c>
      <c r="C30" s="26" t="s">
        <v>49</v>
      </c>
      <c r="D30" s="27">
        <v>1.0</v>
      </c>
      <c r="E30" s="28">
        <v>100.0</v>
      </c>
      <c r="F30" s="28">
        <v>70.0</v>
      </c>
      <c r="G30" s="30">
        <f t="shared" si="2"/>
        <v>0.7</v>
      </c>
      <c r="H30" s="30">
        <f t="shared" si="3"/>
        <v>0.7</v>
      </c>
      <c r="I30" s="30" t="str">
        <f t="shared" si="4"/>
        <v/>
      </c>
      <c r="J30" s="30" t="str">
        <f t="shared" si="5"/>
        <v/>
      </c>
    </row>
    <row r="31" ht="15.75" customHeight="1">
      <c r="A31" s="25">
        <f t="shared" si="1"/>
        <v>29</v>
      </c>
      <c r="B31" s="26" t="s">
        <v>29</v>
      </c>
      <c r="C31" s="26" t="s">
        <v>34</v>
      </c>
      <c r="D31" s="27">
        <v>2.0</v>
      </c>
      <c r="E31" s="28">
        <v>34.0</v>
      </c>
      <c r="F31" s="28">
        <v>30.0</v>
      </c>
      <c r="G31" s="30">
        <f t="shared" si="2"/>
        <v>0.8823529412</v>
      </c>
      <c r="H31" s="30">
        <f t="shared" si="3"/>
        <v>0.8823529412</v>
      </c>
      <c r="I31" s="30" t="str">
        <f t="shared" si="4"/>
        <v/>
      </c>
      <c r="J31" s="30" t="str">
        <f t="shared" si="5"/>
        <v/>
      </c>
    </row>
    <row r="32" ht="15.75" customHeight="1">
      <c r="A32" s="25">
        <f t="shared" si="1"/>
        <v>30</v>
      </c>
      <c r="B32" s="26" t="s">
        <v>30</v>
      </c>
      <c r="C32" s="26" t="s">
        <v>34</v>
      </c>
      <c r="D32" s="27">
        <v>2.0</v>
      </c>
      <c r="E32" s="28">
        <v>75.0</v>
      </c>
      <c r="F32" s="28">
        <v>70.0</v>
      </c>
      <c r="G32" s="30">
        <f t="shared" si="2"/>
        <v>0.9333333333</v>
      </c>
      <c r="H32" s="30">
        <f t="shared" si="3"/>
        <v>0.9333333333</v>
      </c>
      <c r="I32" s="30" t="str">
        <f t="shared" si="4"/>
        <v/>
      </c>
      <c r="J32" s="30" t="str">
        <f t="shared" si="5"/>
        <v/>
      </c>
    </row>
    <row r="33" ht="15.75" customHeight="1">
      <c r="A33" s="25">
        <f t="shared" si="1"/>
        <v>31</v>
      </c>
      <c r="B33" s="26" t="s">
        <v>31</v>
      </c>
      <c r="C33" s="26" t="s">
        <v>34</v>
      </c>
      <c r="D33" s="27">
        <v>2.0</v>
      </c>
      <c r="E33" s="28">
        <v>46.0</v>
      </c>
      <c r="F33" s="28">
        <v>40.0</v>
      </c>
      <c r="G33" s="30">
        <f t="shared" si="2"/>
        <v>0.8695652174</v>
      </c>
      <c r="H33" s="30">
        <f t="shared" si="3"/>
        <v>0.8695652174</v>
      </c>
      <c r="I33" s="30" t="str">
        <f t="shared" si="4"/>
        <v/>
      </c>
      <c r="J33" s="30" t="str">
        <f t="shared" si="5"/>
        <v/>
      </c>
    </row>
    <row r="34" ht="15.75" customHeight="1">
      <c r="A34" s="25">
        <f t="shared" si="1"/>
        <v>32</v>
      </c>
      <c r="B34" s="26" t="s">
        <v>32</v>
      </c>
      <c r="C34" s="26" t="s">
        <v>34</v>
      </c>
      <c r="D34" s="27">
        <v>1.0</v>
      </c>
      <c r="E34" s="28">
        <v>34.0</v>
      </c>
      <c r="F34" s="28">
        <v>20.0</v>
      </c>
      <c r="G34" s="30">
        <f t="shared" si="2"/>
        <v>0.5882352941</v>
      </c>
      <c r="H34" s="30">
        <f t="shared" si="3"/>
        <v>0.5882352941</v>
      </c>
      <c r="I34" s="30" t="str">
        <f t="shared" si="4"/>
        <v/>
      </c>
      <c r="J34" s="30" t="str">
        <f t="shared" si="5"/>
        <v/>
      </c>
    </row>
    <row r="35" ht="15.75" customHeight="1">
      <c r="A35" s="25">
        <f t="shared" si="1"/>
        <v>33</v>
      </c>
      <c r="B35" s="26" t="s">
        <v>33</v>
      </c>
      <c r="C35" s="26" t="s">
        <v>34</v>
      </c>
      <c r="D35" s="27">
        <v>1.0</v>
      </c>
      <c r="E35" s="28">
        <v>41.0</v>
      </c>
      <c r="F35" s="28">
        <v>30.0</v>
      </c>
      <c r="G35" s="30">
        <f t="shared" si="2"/>
        <v>0.7317073171</v>
      </c>
      <c r="H35" s="30">
        <f t="shared" si="3"/>
        <v>0.7317073171</v>
      </c>
      <c r="I35" s="30" t="str">
        <f t="shared" si="4"/>
        <v/>
      </c>
      <c r="J35" s="30" t="str">
        <f t="shared" si="5"/>
        <v/>
      </c>
    </row>
    <row r="36" ht="15.75" customHeight="1">
      <c r="A36" s="31" t="s">
        <v>69</v>
      </c>
      <c r="B36" s="32"/>
      <c r="C36" s="19"/>
      <c r="D36" s="33">
        <f t="shared" ref="D36:F36" si="6">SUM(D3:D35)</f>
        <v>100</v>
      </c>
      <c r="E36" s="34">
        <f t="shared" si="6"/>
        <v>1051</v>
      </c>
      <c r="F36" s="33">
        <f t="shared" si="6"/>
        <v>602</v>
      </c>
      <c r="G36" s="35">
        <f t="shared" si="2"/>
        <v>0.5727878211</v>
      </c>
      <c r="H36" s="35">
        <f t="shared" si="3"/>
        <v>0.5727878211</v>
      </c>
      <c r="I36" s="35" t="s">
        <v>70</v>
      </c>
      <c r="J36" s="35" t="s">
        <v>70</v>
      </c>
    </row>
    <row r="37" ht="15.75" customHeight="1">
      <c r="A37" s="36" t="s">
        <v>71</v>
      </c>
      <c r="B37" s="32"/>
      <c r="C37" s="32"/>
      <c r="D37" s="32"/>
      <c r="E37" s="32"/>
      <c r="F37" s="32"/>
      <c r="G37" s="19"/>
      <c r="H37" s="37">
        <f>sumproduct(D3:D35,H3:H35)/D36</f>
        <v>0.720359366</v>
      </c>
      <c r="I37" s="38">
        <f>sumproduct(D3:D35,I3:I35)/D36</f>
        <v>0.2587190476</v>
      </c>
      <c r="J37" s="38">
        <f>sumproduct(D3:D35,J3:J35)/D36</f>
        <v>0.1387190476</v>
      </c>
    </row>
    <row r="38" ht="15.75" customHeight="1">
      <c r="A38" s="36" t="s">
        <v>72</v>
      </c>
      <c r="B38" s="32"/>
      <c r="C38" s="32"/>
      <c r="D38" s="32"/>
      <c r="E38" s="32"/>
      <c r="F38" s="32"/>
      <c r="G38" s="19"/>
      <c r="H38" s="39">
        <f>H37+min(J37,0.05)</f>
        <v>0.770359366</v>
      </c>
      <c r="I38" s="32"/>
      <c r="J38" s="1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6:C36"/>
    <mergeCell ref="A37:G37"/>
    <mergeCell ref="A38:G38"/>
    <mergeCell ref="H38:J38"/>
    <mergeCell ref="A1:A2"/>
    <mergeCell ref="B1:C2"/>
    <mergeCell ref="D1:D2"/>
    <mergeCell ref="E1:E2"/>
    <mergeCell ref="F1:F2"/>
    <mergeCell ref="G1:H1"/>
    <mergeCell ref="I1:J1"/>
  </mergeCells>
  <conditionalFormatting sqref="G3:G35">
    <cfRule type="cellIs" dxfId="0" priority="1" operator="greaterThan">
      <formula>1</formula>
    </cfRule>
  </conditionalFormatting>
  <conditionalFormatting sqref="H3:H35">
    <cfRule type="expression" dxfId="0" priority="2">
      <formula>H3&lt;G3</formula>
    </cfRule>
  </conditionalFormatting>
  <conditionalFormatting sqref="H3:H35">
    <cfRule type="cellIs" dxfId="1" priority="3" operator="equal">
      <formula>1</formula>
    </cfRule>
  </conditionalFormatting>
  <conditionalFormatting sqref="G3:G35">
    <cfRule type="cellIs" dxfId="1" priority="4" operator="equal">
      <formula>1</formula>
    </cfRule>
  </conditionalFormatting>
  <conditionalFormatting sqref="J3:J35">
    <cfRule type="expression" dxfId="2" priority="5">
      <formula>J3&lt;I3</formula>
    </cfRule>
  </conditionalFormatting>
  <conditionalFormatting sqref="I3:I35">
    <cfRule type="cellIs" dxfId="3" priority="6" operator="greaterThan">
      <formula>1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13"/>
    <col customWidth="1" min="2" max="2" width="39.75"/>
    <col customWidth="1" hidden="1" min="3" max="3" width="34.25"/>
    <col customWidth="1" min="4" max="10" width="10.25"/>
  </cols>
  <sheetData>
    <row r="1" ht="15.75" customHeight="1">
      <c r="A1" s="14" t="s">
        <v>50</v>
      </c>
      <c r="B1" s="15" t="s">
        <v>62</v>
      </c>
      <c r="C1" s="16"/>
      <c r="D1" s="17" t="s">
        <v>63</v>
      </c>
      <c r="E1" s="14" t="s">
        <v>52</v>
      </c>
      <c r="F1" s="14" t="s">
        <v>53</v>
      </c>
      <c r="G1" s="18" t="s">
        <v>64</v>
      </c>
      <c r="H1" s="19"/>
      <c r="I1" s="20" t="s">
        <v>65</v>
      </c>
      <c r="J1" s="19"/>
    </row>
    <row r="2" ht="15.75" customHeight="1">
      <c r="A2" s="21"/>
      <c r="B2" s="22"/>
      <c r="C2" s="23"/>
      <c r="D2" s="21"/>
      <c r="E2" s="21"/>
      <c r="F2" s="21"/>
      <c r="G2" s="24" t="s">
        <v>66</v>
      </c>
      <c r="H2" s="24" t="s">
        <v>67</v>
      </c>
      <c r="I2" s="24" t="s">
        <v>66</v>
      </c>
      <c r="J2" s="24" t="s">
        <v>67</v>
      </c>
    </row>
    <row r="3" ht="15.75" customHeight="1">
      <c r="A3" s="25">
        <f t="shared" ref="A3:A35" si="1">Row()-2</f>
        <v>1</v>
      </c>
      <c r="B3" s="26" t="s">
        <v>0</v>
      </c>
      <c r="C3" s="26" t="s">
        <v>34</v>
      </c>
      <c r="D3" s="27">
        <v>10.0</v>
      </c>
      <c r="E3" s="28">
        <v>21.0</v>
      </c>
      <c r="F3" s="28">
        <v>21.0</v>
      </c>
      <c r="G3" s="30">
        <f t="shared" ref="G3:G36" si="2">F3/E3</f>
        <v>1</v>
      </c>
      <c r="H3" s="30">
        <f t="shared" ref="H3:H36" si="3">iferror(if(G3&gt;1,1,G3),"")</f>
        <v>1</v>
      </c>
      <c r="I3" s="30" t="str">
        <f t="shared" ref="I3:I35" si="4">if(G3&gt;1,G3-1,"")</f>
        <v/>
      </c>
      <c r="J3" s="30" t="str">
        <f t="shared" ref="J3:J35" si="5">if(I3/1&gt;1,1,I3)</f>
        <v/>
      </c>
    </row>
    <row r="4" ht="15.75" customHeight="1">
      <c r="A4" s="25">
        <f t="shared" si="1"/>
        <v>2</v>
      </c>
      <c r="B4" s="26" t="s">
        <v>1</v>
      </c>
      <c r="C4" s="26" t="s">
        <v>34</v>
      </c>
      <c r="D4" s="27">
        <v>6.0</v>
      </c>
      <c r="E4" s="28">
        <v>71.0</v>
      </c>
      <c r="F4" s="28">
        <v>69.0</v>
      </c>
      <c r="G4" s="30">
        <f t="shared" si="2"/>
        <v>0.9718309859</v>
      </c>
      <c r="H4" s="30">
        <f t="shared" si="3"/>
        <v>0.9718309859</v>
      </c>
      <c r="I4" s="30" t="str">
        <f t="shared" si="4"/>
        <v/>
      </c>
      <c r="J4" s="30" t="str">
        <f t="shared" si="5"/>
        <v/>
      </c>
    </row>
    <row r="5" ht="15.75" customHeight="1">
      <c r="A5" s="25">
        <f t="shared" si="1"/>
        <v>3</v>
      </c>
      <c r="B5" s="26" t="s">
        <v>2</v>
      </c>
      <c r="C5" s="26" t="s">
        <v>34</v>
      </c>
      <c r="D5" s="27">
        <v>8.0</v>
      </c>
      <c r="E5" s="28">
        <v>60.0</v>
      </c>
      <c r="F5" s="28">
        <v>60.0</v>
      </c>
      <c r="G5" s="30">
        <f t="shared" si="2"/>
        <v>1</v>
      </c>
      <c r="H5" s="30">
        <f t="shared" si="3"/>
        <v>1</v>
      </c>
      <c r="I5" s="30" t="str">
        <f t="shared" si="4"/>
        <v/>
      </c>
      <c r="J5" s="30" t="str">
        <f t="shared" si="5"/>
        <v/>
      </c>
    </row>
    <row r="6" ht="15.75" customHeight="1">
      <c r="A6" s="25">
        <f t="shared" si="1"/>
        <v>4</v>
      </c>
      <c r="B6" s="26" t="s">
        <v>3</v>
      </c>
      <c r="C6" s="26" t="s">
        <v>34</v>
      </c>
      <c r="D6" s="27">
        <v>5.0</v>
      </c>
      <c r="E6" s="28">
        <v>12.0</v>
      </c>
      <c r="F6" s="28">
        <v>10.0</v>
      </c>
      <c r="G6" s="30">
        <f t="shared" si="2"/>
        <v>0.8333333333</v>
      </c>
      <c r="H6" s="30">
        <f t="shared" si="3"/>
        <v>0.8333333333</v>
      </c>
      <c r="I6" s="30" t="str">
        <f t="shared" si="4"/>
        <v/>
      </c>
      <c r="J6" s="30" t="str">
        <f t="shared" si="5"/>
        <v/>
      </c>
    </row>
    <row r="7" ht="15.75" customHeight="1">
      <c r="A7" s="25">
        <f t="shared" si="1"/>
        <v>5</v>
      </c>
      <c r="B7" s="26" t="s">
        <v>4</v>
      </c>
      <c r="C7" s="26" t="s">
        <v>34</v>
      </c>
      <c r="D7" s="27">
        <v>3.0</v>
      </c>
      <c r="E7" s="28">
        <v>25.0</v>
      </c>
      <c r="F7" s="28">
        <v>15.0</v>
      </c>
      <c r="G7" s="30">
        <f t="shared" si="2"/>
        <v>0.6</v>
      </c>
      <c r="H7" s="30">
        <f t="shared" si="3"/>
        <v>0.6</v>
      </c>
      <c r="I7" s="30" t="str">
        <f t="shared" si="4"/>
        <v/>
      </c>
      <c r="J7" s="30" t="str">
        <f t="shared" si="5"/>
        <v/>
      </c>
    </row>
    <row r="8" ht="15.75" customHeight="1">
      <c r="A8" s="25">
        <f t="shared" si="1"/>
        <v>6</v>
      </c>
      <c r="B8" s="26" t="s">
        <v>5</v>
      </c>
      <c r="C8" s="26" t="s">
        <v>35</v>
      </c>
      <c r="D8" s="27">
        <v>2.0</v>
      </c>
      <c r="E8" s="28">
        <v>1.0</v>
      </c>
      <c r="F8" s="28">
        <v>1.0</v>
      </c>
      <c r="G8" s="30">
        <f t="shared" si="2"/>
        <v>1</v>
      </c>
      <c r="H8" s="30">
        <f t="shared" si="3"/>
        <v>1</v>
      </c>
      <c r="I8" s="30" t="str">
        <f t="shared" si="4"/>
        <v/>
      </c>
      <c r="J8" s="30" t="str">
        <f t="shared" si="5"/>
        <v/>
      </c>
    </row>
    <row r="9" ht="15.75" customHeight="1">
      <c r="A9" s="25">
        <f t="shared" si="1"/>
        <v>7</v>
      </c>
      <c r="B9" s="26" t="s">
        <v>6</v>
      </c>
      <c r="C9" s="26" t="s">
        <v>36</v>
      </c>
      <c r="D9" s="27">
        <v>5.0</v>
      </c>
      <c r="E9" s="28">
        <v>1.0</v>
      </c>
      <c r="F9" s="28">
        <v>1.0</v>
      </c>
      <c r="G9" s="30">
        <f t="shared" si="2"/>
        <v>1</v>
      </c>
      <c r="H9" s="30">
        <f t="shared" si="3"/>
        <v>1</v>
      </c>
      <c r="I9" s="30" t="str">
        <f t="shared" si="4"/>
        <v/>
      </c>
      <c r="J9" s="30" t="str">
        <f t="shared" si="5"/>
        <v/>
      </c>
    </row>
    <row r="10" ht="15.75" customHeight="1">
      <c r="A10" s="25">
        <f t="shared" si="1"/>
        <v>8</v>
      </c>
      <c r="B10" s="26" t="s">
        <v>7</v>
      </c>
      <c r="C10" s="26" t="s">
        <v>37</v>
      </c>
      <c r="D10" s="27">
        <v>3.0</v>
      </c>
      <c r="E10" s="28">
        <v>12.0</v>
      </c>
      <c r="F10" s="28">
        <v>8.0</v>
      </c>
      <c r="G10" s="30">
        <f t="shared" si="2"/>
        <v>0.6666666667</v>
      </c>
      <c r="H10" s="30">
        <f t="shared" si="3"/>
        <v>0.6666666667</v>
      </c>
      <c r="I10" s="30" t="str">
        <f t="shared" si="4"/>
        <v/>
      </c>
      <c r="J10" s="30" t="str">
        <f t="shared" si="5"/>
        <v/>
      </c>
    </row>
    <row r="11" ht="15.75" customHeight="1">
      <c r="A11" s="25">
        <f t="shared" si="1"/>
        <v>9</v>
      </c>
      <c r="B11" s="26" t="s">
        <v>8</v>
      </c>
      <c r="C11" s="26" t="s">
        <v>37</v>
      </c>
      <c r="D11" s="27">
        <v>2.0</v>
      </c>
      <c r="E11" s="28">
        <v>12.0</v>
      </c>
      <c r="F11" s="28">
        <v>9.0</v>
      </c>
      <c r="G11" s="30">
        <f t="shared" si="2"/>
        <v>0.75</v>
      </c>
      <c r="H11" s="30">
        <f t="shared" si="3"/>
        <v>0.75</v>
      </c>
      <c r="I11" s="30" t="str">
        <f t="shared" si="4"/>
        <v/>
      </c>
      <c r="J11" s="30" t="str">
        <f t="shared" si="5"/>
        <v/>
      </c>
    </row>
    <row r="12" ht="15.75" customHeight="1">
      <c r="A12" s="25">
        <f t="shared" si="1"/>
        <v>10</v>
      </c>
      <c r="B12" s="26" t="s">
        <v>68</v>
      </c>
      <c r="C12" s="26" t="s">
        <v>37</v>
      </c>
      <c r="D12" s="27">
        <v>3.0</v>
      </c>
      <c r="E12" s="28">
        <v>12.0</v>
      </c>
      <c r="F12" s="28">
        <v>10.0</v>
      </c>
      <c r="G12" s="30">
        <f t="shared" si="2"/>
        <v>0.8333333333</v>
      </c>
      <c r="H12" s="30">
        <f t="shared" si="3"/>
        <v>0.8333333333</v>
      </c>
      <c r="I12" s="30" t="str">
        <f t="shared" si="4"/>
        <v/>
      </c>
      <c r="J12" s="30" t="str">
        <f t="shared" si="5"/>
        <v/>
      </c>
    </row>
    <row r="13" ht="15.75" customHeight="1">
      <c r="A13" s="25">
        <f t="shared" si="1"/>
        <v>11</v>
      </c>
      <c r="B13" s="26" t="s">
        <v>10</v>
      </c>
      <c r="C13" s="26" t="s">
        <v>35</v>
      </c>
      <c r="D13" s="27">
        <v>2.0</v>
      </c>
      <c r="E13" s="28">
        <v>1.0</v>
      </c>
      <c r="F13" s="28">
        <v>1.0</v>
      </c>
      <c r="G13" s="30">
        <f t="shared" si="2"/>
        <v>1</v>
      </c>
      <c r="H13" s="30">
        <f t="shared" si="3"/>
        <v>1</v>
      </c>
      <c r="I13" s="30" t="str">
        <f t="shared" si="4"/>
        <v/>
      </c>
      <c r="J13" s="30" t="str">
        <f t="shared" si="5"/>
        <v/>
      </c>
    </row>
    <row r="14" ht="15.75" customHeight="1">
      <c r="A14" s="25">
        <f t="shared" si="1"/>
        <v>12</v>
      </c>
      <c r="B14" s="26" t="s">
        <v>11</v>
      </c>
      <c r="C14" s="26" t="s">
        <v>38</v>
      </c>
      <c r="D14" s="27">
        <v>2.0</v>
      </c>
      <c r="E14" s="28">
        <v>9.0</v>
      </c>
      <c r="F14" s="28">
        <v>8.0</v>
      </c>
      <c r="G14" s="30">
        <f t="shared" si="2"/>
        <v>0.8888888889</v>
      </c>
      <c r="H14" s="30">
        <f t="shared" si="3"/>
        <v>0.8888888889</v>
      </c>
      <c r="I14" s="30" t="str">
        <f t="shared" si="4"/>
        <v/>
      </c>
      <c r="J14" s="30" t="str">
        <f t="shared" si="5"/>
        <v/>
      </c>
    </row>
    <row r="15" ht="15.75" customHeight="1">
      <c r="A15" s="25">
        <f t="shared" si="1"/>
        <v>13</v>
      </c>
      <c r="B15" s="26" t="s">
        <v>12</v>
      </c>
      <c r="C15" s="26" t="s">
        <v>35</v>
      </c>
      <c r="D15" s="27">
        <v>2.0</v>
      </c>
      <c r="E15" s="28">
        <v>1.0</v>
      </c>
      <c r="F15" s="28">
        <v>1.0</v>
      </c>
      <c r="G15" s="30">
        <f t="shared" si="2"/>
        <v>1</v>
      </c>
      <c r="H15" s="30">
        <f t="shared" si="3"/>
        <v>1</v>
      </c>
      <c r="I15" s="30" t="str">
        <f t="shared" si="4"/>
        <v/>
      </c>
      <c r="J15" s="30" t="str">
        <f t="shared" si="5"/>
        <v/>
      </c>
    </row>
    <row r="16" ht="15.75" customHeight="1">
      <c r="A16" s="25">
        <f t="shared" si="1"/>
        <v>14</v>
      </c>
      <c r="B16" s="26" t="s">
        <v>13</v>
      </c>
      <c r="C16" s="26" t="s">
        <v>36</v>
      </c>
      <c r="D16" s="27">
        <v>3.0</v>
      </c>
      <c r="E16" s="28">
        <v>1.0</v>
      </c>
      <c r="F16" s="28">
        <v>1.0</v>
      </c>
      <c r="G16" s="30">
        <f t="shared" si="2"/>
        <v>1</v>
      </c>
      <c r="H16" s="30">
        <f t="shared" si="3"/>
        <v>1</v>
      </c>
      <c r="I16" s="30" t="str">
        <f t="shared" si="4"/>
        <v/>
      </c>
      <c r="J16" s="30" t="str">
        <f t="shared" si="5"/>
        <v/>
      </c>
    </row>
    <row r="17" ht="15.75" customHeight="1">
      <c r="A17" s="25">
        <f t="shared" si="1"/>
        <v>15</v>
      </c>
      <c r="B17" s="26" t="s">
        <v>14</v>
      </c>
      <c r="C17" s="26" t="s">
        <v>39</v>
      </c>
      <c r="D17" s="27">
        <v>6.0</v>
      </c>
      <c r="E17" s="28">
        <v>20.0</v>
      </c>
      <c r="F17" s="28">
        <v>19.0</v>
      </c>
      <c r="G17" s="30">
        <f t="shared" si="2"/>
        <v>0.95</v>
      </c>
      <c r="H17" s="30">
        <f t="shared" si="3"/>
        <v>0.95</v>
      </c>
      <c r="I17" s="30" t="str">
        <f t="shared" si="4"/>
        <v/>
      </c>
      <c r="J17" s="30" t="str">
        <f t="shared" si="5"/>
        <v/>
      </c>
    </row>
    <row r="18" ht="15.75" customHeight="1">
      <c r="A18" s="25">
        <f t="shared" si="1"/>
        <v>16</v>
      </c>
      <c r="B18" s="26" t="s">
        <v>15</v>
      </c>
      <c r="C18" s="26" t="s">
        <v>40</v>
      </c>
      <c r="D18" s="27">
        <v>6.0</v>
      </c>
      <c r="E18" s="28">
        <v>60.0</v>
      </c>
      <c r="F18" s="28">
        <v>7.0</v>
      </c>
      <c r="G18" s="30">
        <f t="shared" si="2"/>
        <v>0.1166666667</v>
      </c>
      <c r="H18" s="30">
        <f t="shared" si="3"/>
        <v>0.1166666667</v>
      </c>
      <c r="I18" s="30" t="str">
        <f t="shared" si="4"/>
        <v/>
      </c>
      <c r="J18" s="30" t="str">
        <f t="shared" si="5"/>
        <v/>
      </c>
    </row>
    <row r="19" ht="15.75" customHeight="1">
      <c r="A19" s="25">
        <f t="shared" si="1"/>
        <v>17</v>
      </c>
      <c r="B19" s="26" t="s">
        <v>16</v>
      </c>
      <c r="C19" s="26" t="s">
        <v>35</v>
      </c>
      <c r="D19" s="27">
        <v>2.0</v>
      </c>
      <c r="E19" s="28">
        <v>1.0</v>
      </c>
      <c r="F19" s="28">
        <v>1.0</v>
      </c>
      <c r="G19" s="30">
        <f t="shared" si="2"/>
        <v>1</v>
      </c>
      <c r="H19" s="30">
        <f t="shared" si="3"/>
        <v>1</v>
      </c>
      <c r="I19" s="30" t="str">
        <f t="shared" si="4"/>
        <v/>
      </c>
      <c r="J19" s="30" t="str">
        <f t="shared" si="5"/>
        <v/>
      </c>
    </row>
    <row r="20" ht="15.75" customHeight="1">
      <c r="A20" s="25">
        <f t="shared" si="1"/>
        <v>18</v>
      </c>
      <c r="B20" s="26" t="s">
        <v>17</v>
      </c>
      <c r="C20" s="26" t="s">
        <v>35</v>
      </c>
      <c r="D20" s="27">
        <v>2.0</v>
      </c>
      <c r="E20" s="28">
        <v>1.0</v>
      </c>
      <c r="F20" s="28">
        <v>0.0</v>
      </c>
      <c r="G20" s="30">
        <f t="shared" si="2"/>
        <v>0</v>
      </c>
      <c r="H20" s="30">
        <f t="shared" si="3"/>
        <v>0</v>
      </c>
      <c r="I20" s="30" t="str">
        <f t="shared" si="4"/>
        <v/>
      </c>
      <c r="J20" s="30" t="str">
        <f t="shared" si="5"/>
        <v/>
      </c>
    </row>
    <row r="21" ht="15.75" customHeight="1">
      <c r="A21" s="25">
        <f t="shared" si="1"/>
        <v>19</v>
      </c>
      <c r="B21" s="26" t="s">
        <v>18</v>
      </c>
      <c r="C21" s="26" t="s">
        <v>41</v>
      </c>
      <c r="D21" s="27">
        <v>3.0</v>
      </c>
      <c r="E21" s="28">
        <v>3.0</v>
      </c>
      <c r="F21" s="28">
        <v>3.0</v>
      </c>
      <c r="G21" s="30">
        <f t="shared" si="2"/>
        <v>1</v>
      </c>
      <c r="H21" s="30">
        <f t="shared" si="3"/>
        <v>1</v>
      </c>
      <c r="I21" s="30" t="str">
        <f t="shared" si="4"/>
        <v/>
      </c>
      <c r="J21" s="30" t="str">
        <f t="shared" si="5"/>
        <v/>
      </c>
    </row>
    <row r="22" ht="15.75" customHeight="1">
      <c r="A22" s="25">
        <f t="shared" si="1"/>
        <v>20</v>
      </c>
      <c r="B22" s="26" t="s">
        <v>19</v>
      </c>
      <c r="C22" s="26" t="s">
        <v>35</v>
      </c>
      <c r="D22" s="27">
        <v>3.0</v>
      </c>
      <c r="E22" s="28">
        <v>1.0</v>
      </c>
      <c r="F22" s="28">
        <v>1.0</v>
      </c>
      <c r="G22" s="30">
        <f t="shared" si="2"/>
        <v>1</v>
      </c>
      <c r="H22" s="30">
        <f t="shared" si="3"/>
        <v>1</v>
      </c>
      <c r="I22" s="30" t="str">
        <f t="shared" si="4"/>
        <v/>
      </c>
      <c r="J22" s="30" t="str">
        <f t="shared" si="5"/>
        <v/>
      </c>
    </row>
    <row r="23" ht="15.75" customHeight="1">
      <c r="A23" s="25">
        <f t="shared" si="1"/>
        <v>21</v>
      </c>
      <c r="B23" s="26" t="s">
        <v>20</v>
      </c>
      <c r="C23" s="26" t="s">
        <v>42</v>
      </c>
      <c r="D23" s="27">
        <v>2.0</v>
      </c>
      <c r="E23" s="28">
        <v>2.0</v>
      </c>
      <c r="F23" s="28">
        <v>1.0</v>
      </c>
      <c r="G23" s="30">
        <f t="shared" si="2"/>
        <v>0.5</v>
      </c>
      <c r="H23" s="30">
        <f t="shared" si="3"/>
        <v>0.5</v>
      </c>
      <c r="I23" s="30" t="str">
        <f t="shared" si="4"/>
        <v/>
      </c>
      <c r="J23" s="30" t="str">
        <f t="shared" si="5"/>
        <v/>
      </c>
    </row>
    <row r="24" ht="15.75" customHeight="1">
      <c r="A24" s="25">
        <f t="shared" si="1"/>
        <v>22</v>
      </c>
      <c r="B24" s="26" t="s">
        <v>21</v>
      </c>
      <c r="C24" s="26" t="s">
        <v>43</v>
      </c>
      <c r="D24" s="27">
        <v>2.0</v>
      </c>
      <c r="E24" s="28">
        <v>2.0</v>
      </c>
      <c r="F24" s="28">
        <v>0.0</v>
      </c>
      <c r="G24" s="30">
        <f t="shared" si="2"/>
        <v>0</v>
      </c>
      <c r="H24" s="30">
        <f t="shared" si="3"/>
        <v>0</v>
      </c>
      <c r="I24" s="30" t="str">
        <f t="shared" si="4"/>
        <v/>
      </c>
      <c r="J24" s="30" t="str">
        <f t="shared" si="5"/>
        <v/>
      </c>
    </row>
    <row r="25" ht="15.75" customHeight="1">
      <c r="A25" s="25">
        <f t="shared" si="1"/>
        <v>23</v>
      </c>
      <c r="B25" s="26" t="s">
        <v>23</v>
      </c>
      <c r="C25" s="26" t="s">
        <v>45</v>
      </c>
      <c r="D25" s="27">
        <v>2.0</v>
      </c>
      <c r="E25" s="28">
        <v>3.0</v>
      </c>
      <c r="F25" s="28">
        <v>2.0</v>
      </c>
      <c r="G25" s="30">
        <f t="shared" si="2"/>
        <v>0.6666666667</v>
      </c>
      <c r="H25" s="30">
        <f t="shared" si="3"/>
        <v>0.6666666667</v>
      </c>
      <c r="I25" s="30" t="str">
        <f t="shared" si="4"/>
        <v/>
      </c>
      <c r="J25" s="30" t="str">
        <f t="shared" si="5"/>
        <v/>
      </c>
    </row>
    <row r="26" ht="15.75" customHeight="1">
      <c r="A26" s="25">
        <f t="shared" si="1"/>
        <v>24</v>
      </c>
      <c r="B26" s="26" t="s">
        <v>24</v>
      </c>
      <c r="C26" s="26" t="s">
        <v>42</v>
      </c>
      <c r="D26" s="27">
        <v>1.0</v>
      </c>
      <c r="E26" s="28">
        <v>2.0</v>
      </c>
      <c r="F26" s="28">
        <v>1.0</v>
      </c>
      <c r="G26" s="30">
        <f t="shared" si="2"/>
        <v>0.5</v>
      </c>
      <c r="H26" s="30">
        <f t="shared" si="3"/>
        <v>0.5</v>
      </c>
      <c r="I26" s="30" t="str">
        <f t="shared" si="4"/>
        <v/>
      </c>
      <c r="J26" s="30" t="str">
        <f t="shared" si="5"/>
        <v/>
      </c>
    </row>
    <row r="27" ht="15.75" customHeight="1">
      <c r="A27" s="25">
        <f t="shared" si="1"/>
        <v>25</v>
      </c>
      <c r="B27" s="26" t="s">
        <v>25</v>
      </c>
      <c r="C27" s="26" t="s">
        <v>46</v>
      </c>
      <c r="D27" s="27">
        <v>3.0</v>
      </c>
      <c r="E27" s="28">
        <v>384.0</v>
      </c>
      <c r="F27" s="28">
        <v>150.0</v>
      </c>
      <c r="G27" s="30">
        <f t="shared" si="2"/>
        <v>0.390625</v>
      </c>
      <c r="H27" s="30">
        <f t="shared" si="3"/>
        <v>0.390625</v>
      </c>
      <c r="I27" s="30" t="str">
        <f t="shared" si="4"/>
        <v/>
      </c>
      <c r="J27" s="30" t="str">
        <f t="shared" si="5"/>
        <v/>
      </c>
    </row>
    <row r="28" ht="15.75" customHeight="1">
      <c r="A28" s="25">
        <f t="shared" si="1"/>
        <v>26</v>
      </c>
      <c r="B28" s="26" t="s">
        <v>26</v>
      </c>
      <c r="C28" s="26" t="s">
        <v>47</v>
      </c>
      <c r="D28" s="27">
        <v>2.0</v>
      </c>
      <c r="E28" s="28">
        <v>1.0</v>
      </c>
      <c r="F28" s="28">
        <v>1.0</v>
      </c>
      <c r="G28" s="30">
        <f t="shared" si="2"/>
        <v>1</v>
      </c>
      <c r="H28" s="30">
        <f t="shared" si="3"/>
        <v>1</v>
      </c>
      <c r="I28" s="30" t="str">
        <f t="shared" si="4"/>
        <v/>
      </c>
      <c r="J28" s="30" t="str">
        <f t="shared" si="5"/>
        <v/>
      </c>
    </row>
    <row r="29" ht="15.75" customHeight="1">
      <c r="A29" s="25">
        <f t="shared" si="1"/>
        <v>27</v>
      </c>
      <c r="B29" s="26" t="s">
        <v>27</v>
      </c>
      <c r="C29" s="26" t="s">
        <v>48</v>
      </c>
      <c r="D29" s="27">
        <v>1.0</v>
      </c>
      <c r="E29" s="28">
        <v>2.0</v>
      </c>
      <c r="F29" s="28">
        <v>1.0</v>
      </c>
      <c r="G29" s="30">
        <f t="shared" si="2"/>
        <v>0.5</v>
      </c>
      <c r="H29" s="30">
        <f t="shared" si="3"/>
        <v>0.5</v>
      </c>
      <c r="I29" s="30" t="str">
        <f t="shared" si="4"/>
        <v/>
      </c>
      <c r="J29" s="30" t="str">
        <f t="shared" si="5"/>
        <v/>
      </c>
    </row>
    <row r="30" ht="15.75" customHeight="1">
      <c r="A30" s="25">
        <f t="shared" si="1"/>
        <v>28</v>
      </c>
      <c r="B30" s="26" t="s">
        <v>28</v>
      </c>
      <c r="C30" s="26" t="s">
        <v>49</v>
      </c>
      <c r="D30" s="27">
        <v>1.0</v>
      </c>
      <c r="E30" s="28">
        <v>100.0</v>
      </c>
      <c r="F30" s="28">
        <v>80.0</v>
      </c>
      <c r="G30" s="30">
        <f t="shared" si="2"/>
        <v>0.8</v>
      </c>
      <c r="H30" s="30">
        <f t="shared" si="3"/>
        <v>0.8</v>
      </c>
      <c r="I30" s="30" t="str">
        <f t="shared" si="4"/>
        <v/>
      </c>
      <c r="J30" s="30" t="str">
        <f t="shared" si="5"/>
        <v/>
      </c>
    </row>
    <row r="31" ht="15.75" customHeight="1">
      <c r="A31" s="25">
        <f t="shared" si="1"/>
        <v>29</v>
      </c>
      <c r="B31" s="26" t="s">
        <v>29</v>
      </c>
      <c r="C31" s="26" t="s">
        <v>34</v>
      </c>
      <c r="D31" s="27">
        <v>2.0</v>
      </c>
      <c r="E31" s="28">
        <v>34.0</v>
      </c>
      <c r="F31" s="28">
        <v>30.0</v>
      </c>
      <c r="G31" s="30">
        <f t="shared" si="2"/>
        <v>0.8823529412</v>
      </c>
      <c r="H31" s="30">
        <f t="shared" si="3"/>
        <v>0.8823529412</v>
      </c>
      <c r="I31" s="30" t="str">
        <f t="shared" si="4"/>
        <v/>
      </c>
      <c r="J31" s="30" t="str">
        <f t="shared" si="5"/>
        <v/>
      </c>
    </row>
    <row r="32" ht="15.75" customHeight="1">
      <c r="A32" s="25">
        <f t="shared" si="1"/>
        <v>30</v>
      </c>
      <c r="B32" s="26" t="s">
        <v>30</v>
      </c>
      <c r="C32" s="26" t="s">
        <v>34</v>
      </c>
      <c r="D32" s="27">
        <v>2.0</v>
      </c>
      <c r="E32" s="28">
        <v>75.0</v>
      </c>
      <c r="F32" s="28">
        <v>70.0</v>
      </c>
      <c r="G32" s="30">
        <f t="shared" si="2"/>
        <v>0.9333333333</v>
      </c>
      <c r="H32" s="30">
        <f t="shared" si="3"/>
        <v>0.9333333333</v>
      </c>
      <c r="I32" s="30" t="str">
        <f t="shared" si="4"/>
        <v/>
      </c>
      <c r="J32" s="30" t="str">
        <f t="shared" si="5"/>
        <v/>
      </c>
    </row>
    <row r="33" ht="15.75" customHeight="1">
      <c r="A33" s="25">
        <f t="shared" si="1"/>
        <v>31</v>
      </c>
      <c r="B33" s="26" t="s">
        <v>31</v>
      </c>
      <c r="C33" s="26" t="s">
        <v>34</v>
      </c>
      <c r="D33" s="27">
        <v>2.0</v>
      </c>
      <c r="E33" s="28">
        <v>46.0</v>
      </c>
      <c r="F33" s="28">
        <v>40.0</v>
      </c>
      <c r="G33" s="30">
        <f t="shared" si="2"/>
        <v>0.8695652174</v>
      </c>
      <c r="H33" s="30">
        <f t="shared" si="3"/>
        <v>0.8695652174</v>
      </c>
      <c r="I33" s="30" t="str">
        <f t="shared" si="4"/>
        <v/>
      </c>
      <c r="J33" s="30" t="str">
        <f t="shared" si="5"/>
        <v/>
      </c>
    </row>
    <row r="34" ht="15.75" customHeight="1">
      <c r="A34" s="25">
        <f t="shared" si="1"/>
        <v>32</v>
      </c>
      <c r="B34" s="26" t="s">
        <v>32</v>
      </c>
      <c r="C34" s="26" t="s">
        <v>34</v>
      </c>
      <c r="D34" s="27">
        <v>1.0</v>
      </c>
      <c r="E34" s="28">
        <v>34.0</v>
      </c>
      <c r="F34" s="28">
        <v>20.0</v>
      </c>
      <c r="G34" s="30">
        <f t="shared" si="2"/>
        <v>0.5882352941</v>
      </c>
      <c r="H34" s="30">
        <f t="shared" si="3"/>
        <v>0.5882352941</v>
      </c>
      <c r="I34" s="30" t="str">
        <f t="shared" si="4"/>
        <v/>
      </c>
      <c r="J34" s="30" t="str">
        <f t="shared" si="5"/>
        <v/>
      </c>
    </row>
    <row r="35" ht="15.75" customHeight="1">
      <c r="A35" s="25">
        <f t="shared" si="1"/>
        <v>33</v>
      </c>
      <c r="B35" s="26" t="s">
        <v>33</v>
      </c>
      <c r="C35" s="26" t="s">
        <v>34</v>
      </c>
      <c r="D35" s="27">
        <v>1.0</v>
      </c>
      <c r="E35" s="28">
        <v>41.0</v>
      </c>
      <c r="F35" s="28">
        <v>30.0</v>
      </c>
      <c r="G35" s="30">
        <f t="shared" si="2"/>
        <v>0.7317073171</v>
      </c>
      <c r="H35" s="30">
        <f t="shared" si="3"/>
        <v>0.7317073171</v>
      </c>
      <c r="I35" s="30" t="str">
        <f t="shared" si="4"/>
        <v/>
      </c>
      <c r="J35" s="30" t="str">
        <f t="shared" si="5"/>
        <v/>
      </c>
    </row>
    <row r="36" ht="15.75" customHeight="1">
      <c r="A36" s="31" t="s">
        <v>69</v>
      </c>
      <c r="B36" s="32"/>
      <c r="C36" s="19"/>
      <c r="D36" s="33">
        <f t="shared" ref="D36:F36" si="6">SUM(D3:D35)</f>
        <v>100</v>
      </c>
      <c r="E36" s="34">
        <f t="shared" si="6"/>
        <v>1051</v>
      </c>
      <c r="F36" s="33">
        <f t="shared" si="6"/>
        <v>672</v>
      </c>
      <c r="G36" s="35">
        <f t="shared" si="2"/>
        <v>0.6393910561</v>
      </c>
      <c r="H36" s="35">
        <f t="shared" si="3"/>
        <v>0.6393910561</v>
      </c>
      <c r="I36" s="35" t="s">
        <v>70</v>
      </c>
      <c r="J36" s="35" t="s">
        <v>70</v>
      </c>
    </row>
    <row r="37" ht="15.75" customHeight="1">
      <c r="A37" s="36" t="s">
        <v>71</v>
      </c>
      <c r="B37" s="32"/>
      <c r="C37" s="32"/>
      <c r="D37" s="32"/>
      <c r="E37" s="32"/>
      <c r="F37" s="32"/>
      <c r="G37" s="19"/>
      <c r="H37" s="37">
        <f>sumproduct(D3:D35,H3:H35)/D36</f>
        <v>0.7997108429</v>
      </c>
      <c r="I37" s="38">
        <f>sumproduct(D3:D35,I3:I35)/D36</f>
        <v>0</v>
      </c>
      <c r="J37" s="38">
        <f>sumproduct(D3:D35,J3:J35)/D36</f>
        <v>0</v>
      </c>
    </row>
    <row r="38" ht="15.75" customHeight="1">
      <c r="A38" s="36" t="s">
        <v>72</v>
      </c>
      <c r="B38" s="32"/>
      <c r="C38" s="32"/>
      <c r="D38" s="32"/>
      <c r="E38" s="32"/>
      <c r="F38" s="32"/>
      <c r="G38" s="19"/>
      <c r="H38" s="39">
        <f>H37+min(J37,0.05)</f>
        <v>0.7997108429</v>
      </c>
      <c r="I38" s="32"/>
      <c r="J38" s="1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6:C36"/>
    <mergeCell ref="A37:G37"/>
    <mergeCell ref="A38:G38"/>
    <mergeCell ref="H38:J38"/>
    <mergeCell ref="A1:A2"/>
    <mergeCell ref="B1:C2"/>
    <mergeCell ref="D1:D2"/>
    <mergeCell ref="E1:E2"/>
    <mergeCell ref="F1:F2"/>
    <mergeCell ref="G1:H1"/>
    <mergeCell ref="I1:J1"/>
  </mergeCells>
  <conditionalFormatting sqref="G3:G35">
    <cfRule type="cellIs" dxfId="0" priority="1" operator="greaterThan">
      <formula>1</formula>
    </cfRule>
  </conditionalFormatting>
  <conditionalFormatting sqref="H3:H35">
    <cfRule type="expression" dxfId="0" priority="2">
      <formula>H3&lt;G3</formula>
    </cfRule>
  </conditionalFormatting>
  <conditionalFormatting sqref="H3:H35">
    <cfRule type="cellIs" dxfId="1" priority="3" operator="equal">
      <formula>1</formula>
    </cfRule>
  </conditionalFormatting>
  <conditionalFormatting sqref="G3:G35">
    <cfRule type="cellIs" dxfId="1" priority="4" operator="equal">
      <formula>1</formula>
    </cfRule>
  </conditionalFormatting>
  <conditionalFormatting sqref="J3:J35">
    <cfRule type="expression" dxfId="2" priority="5">
      <formula>J3&lt;I3</formula>
    </cfRule>
  </conditionalFormatting>
  <conditionalFormatting sqref="I3:I35">
    <cfRule type="cellIs" dxfId="3" priority="6" operator="greaterThan">
      <formula>1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13"/>
    <col customWidth="1" min="2" max="2" width="39.75"/>
    <col customWidth="1" hidden="1" min="3" max="3" width="34.25"/>
    <col customWidth="1" min="4" max="10" width="10.25"/>
  </cols>
  <sheetData>
    <row r="1" ht="15.75" customHeight="1">
      <c r="A1" s="14" t="s">
        <v>50</v>
      </c>
      <c r="B1" s="15" t="s">
        <v>62</v>
      </c>
      <c r="C1" s="16"/>
      <c r="D1" s="17" t="s">
        <v>63</v>
      </c>
      <c r="E1" s="14" t="s">
        <v>52</v>
      </c>
      <c r="F1" s="14" t="s">
        <v>53</v>
      </c>
      <c r="G1" s="18" t="s">
        <v>64</v>
      </c>
      <c r="H1" s="19"/>
      <c r="I1" s="20" t="s">
        <v>65</v>
      </c>
      <c r="J1" s="19"/>
    </row>
    <row r="2" ht="15.75" customHeight="1">
      <c r="A2" s="21"/>
      <c r="B2" s="22"/>
      <c r="C2" s="23"/>
      <c r="D2" s="21"/>
      <c r="E2" s="21"/>
      <c r="F2" s="21"/>
      <c r="G2" s="24" t="s">
        <v>66</v>
      </c>
      <c r="H2" s="24" t="s">
        <v>67</v>
      </c>
      <c r="I2" s="24" t="s">
        <v>66</v>
      </c>
      <c r="J2" s="24" t="s">
        <v>67</v>
      </c>
    </row>
    <row r="3" ht="15.75" customHeight="1">
      <c r="A3" s="25">
        <f t="shared" ref="A3:A35" si="1">Row()-2</f>
        <v>1</v>
      </c>
      <c r="B3" s="26" t="s">
        <v>0</v>
      </c>
      <c r="C3" s="26" t="s">
        <v>34</v>
      </c>
      <c r="D3" s="27">
        <v>10.0</v>
      </c>
      <c r="E3" s="28">
        <v>21.0</v>
      </c>
      <c r="F3" s="28">
        <v>22.0</v>
      </c>
      <c r="G3" s="30">
        <f t="shared" ref="G3:G36" si="2">F3/E3</f>
        <v>1.047619048</v>
      </c>
      <c r="H3" s="30">
        <f t="shared" ref="H3:H36" si="3">iferror(if(G3&gt;1,1,G3),"")</f>
        <v>1</v>
      </c>
      <c r="I3" s="30">
        <f t="shared" ref="I3:I35" si="4">if(G3&gt;1,G3-1,"")</f>
        <v>0.04761904762</v>
      </c>
      <c r="J3" s="30">
        <f t="shared" ref="J3:J35" si="5">if(I3/1&gt;1,1,I3)</f>
        <v>0.04761904762</v>
      </c>
    </row>
    <row r="4" ht="15.75" customHeight="1">
      <c r="A4" s="25">
        <f t="shared" si="1"/>
        <v>2</v>
      </c>
      <c r="B4" s="26" t="s">
        <v>1</v>
      </c>
      <c r="C4" s="26" t="s">
        <v>34</v>
      </c>
      <c r="D4" s="27">
        <v>6.0</v>
      </c>
      <c r="E4" s="28">
        <v>71.0</v>
      </c>
      <c r="F4" s="28">
        <v>69.0</v>
      </c>
      <c r="G4" s="30">
        <f t="shared" si="2"/>
        <v>0.9718309859</v>
      </c>
      <c r="H4" s="30">
        <f t="shared" si="3"/>
        <v>0.9718309859</v>
      </c>
      <c r="I4" s="30" t="str">
        <f t="shared" si="4"/>
        <v/>
      </c>
      <c r="J4" s="30" t="str">
        <f t="shared" si="5"/>
        <v/>
      </c>
    </row>
    <row r="5" ht="15.75" customHeight="1">
      <c r="A5" s="25">
        <f t="shared" si="1"/>
        <v>3</v>
      </c>
      <c r="B5" s="26" t="s">
        <v>2</v>
      </c>
      <c r="C5" s="26" t="s">
        <v>34</v>
      </c>
      <c r="D5" s="27">
        <v>8.0</v>
      </c>
      <c r="E5" s="28">
        <v>60.0</v>
      </c>
      <c r="F5" s="28">
        <v>50.0</v>
      </c>
      <c r="G5" s="30">
        <f t="shared" si="2"/>
        <v>0.8333333333</v>
      </c>
      <c r="H5" s="30">
        <f t="shared" si="3"/>
        <v>0.8333333333</v>
      </c>
      <c r="I5" s="30" t="str">
        <f t="shared" si="4"/>
        <v/>
      </c>
      <c r="J5" s="30" t="str">
        <f t="shared" si="5"/>
        <v/>
      </c>
    </row>
    <row r="6" ht="15.75" customHeight="1">
      <c r="A6" s="25">
        <f t="shared" si="1"/>
        <v>4</v>
      </c>
      <c r="B6" s="26" t="s">
        <v>3</v>
      </c>
      <c r="C6" s="26" t="s">
        <v>34</v>
      </c>
      <c r="D6" s="27">
        <v>5.0</v>
      </c>
      <c r="E6" s="28">
        <v>12.0</v>
      </c>
      <c r="F6" s="28">
        <v>26.0</v>
      </c>
      <c r="G6" s="30">
        <f t="shared" si="2"/>
        <v>2.166666667</v>
      </c>
      <c r="H6" s="30">
        <f t="shared" si="3"/>
        <v>1</v>
      </c>
      <c r="I6" s="30">
        <f t="shared" si="4"/>
        <v>1.166666667</v>
      </c>
      <c r="J6" s="30">
        <f t="shared" si="5"/>
        <v>1</v>
      </c>
    </row>
    <row r="7" ht="15.75" customHeight="1">
      <c r="A7" s="25">
        <f t="shared" si="1"/>
        <v>5</v>
      </c>
      <c r="B7" s="26" t="s">
        <v>4</v>
      </c>
      <c r="C7" s="26" t="s">
        <v>34</v>
      </c>
      <c r="D7" s="27">
        <v>3.0</v>
      </c>
      <c r="E7" s="28">
        <v>25.0</v>
      </c>
      <c r="F7" s="28">
        <v>15.0</v>
      </c>
      <c r="G7" s="30">
        <f t="shared" si="2"/>
        <v>0.6</v>
      </c>
      <c r="H7" s="30">
        <f t="shared" si="3"/>
        <v>0.6</v>
      </c>
      <c r="I7" s="30" t="str">
        <f t="shared" si="4"/>
        <v/>
      </c>
      <c r="J7" s="30" t="str">
        <f t="shared" si="5"/>
        <v/>
      </c>
    </row>
    <row r="8" ht="15.75" customHeight="1">
      <c r="A8" s="25">
        <f t="shared" si="1"/>
        <v>6</v>
      </c>
      <c r="B8" s="26" t="s">
        <v>5</v>
      </c>
      <c r="C8" s="26" t="s">
        <v>35</v>
      </c>
      <c r="D8" s="27">
        <v>2.0</v>
      </c>
      <c r="E8" s="28">
        <v>1.0</v>
      </c>
      <c r="F8" s="28">
        <v>1.0</v>
      </c>
      <c r="G8" s="30">
        <f t="shared" si="2"/>
        <v>1</v>
      </c>
      <c r="H8" s="30">
        <f t="shared" si="3"/>
        <v>1</v>
      </c>
      <c r="I8" s="30" t="str">
        <f t="shared" si="4"/>
        <v/>
      </c>
      <c r="J8" s="30" t="str">
        <f t="shared" si="5"/>
        <v/>
      </c>
    </row>
    <row r="9" ht="15.75" customHeight="1">
      <c r="A9" s="25">
        <f t="shared" si="1"/>
        <v>7</v>
      </c>
      <c r="B9" s="26" t="s">
        <v>6</v>
      </c>
      <c r="C9" s="26" t="s">
        <v>36</v>
      </c>
      <c r="D9" s="27">
        <v>5.0</v>
      </c>
      <c r="E9" s="28">
        <v>1.0</v>
      </c>
      <c r="F9" s="28">
        <v>1.0</v>
      </c>
      <c r="G9" s="30">
        <f t="shared" si="2"/>
        <v>1</v>
      </c>
      <c r="H9" s="30">
        <f t="shared" si="3"/>
        <v>1</v>
      </c>
      <c r="I9" s="30" t="str">
        <f t="shared" si="4"/>
        <v/>
      </c>
      <c r="J9" s="30" t="str">
        <f t="shared" si="5"/>
        <v/>
      </c>
    </row>
    <row r="10" ht="15.75" customHeight="1">
      <c r="A10" s="25">
        <f t="shared" si="1"/>
        <v>8</v>
      </c>
      <c r="B10" s="26" t="s">
        <v>7</v>
      </c>
      <c r="C10" s="26" t="s">
        <v>37</v>
      </c>
      <c r="D10" s="27">
        <v>3.0</v>
      </c>
      <c r="E10" s="28">
        <v>12.0</v>
      </c>
      <c r="F10" s="28">
        <v>8.0</v>
      </c>
      <c r="G10" s="30">
        <f t="shared" si="2"/>
        <v>0.6666666667</v>
      </c>
      <c r="H10" s="30">
        <f t="shared" si="3"/>
        <v>0.6666666667</v>
      </c>
      <c r="I10" s="30" t="str">
        <f t="shared" si="4"/>
        <v/>
      </c>
      <c r="J10" s="30" t="str">
        <f t="shared" si="5"/>
        <v/>
      </c>
    </row>
    <row r="11" ht="15.75" customHeight="1">
      <c r="A11" s="25">
        <f t="shared" si="1"/>
        <v>9</v>
      </c>
      <c r="B11" s="26" t="s">
        <v>8</v>
      </c>
      <c r="C11" s="26" t="s">
        <v>37</v>
      </c>
      <c r="D11" s="27">
        <v>2.0</v>
      </c>
      <c r="E11" s="28">
        <v>12.0</v>
      </c>
      <c r="F11" s="28">
        <v>9.0</v>
      </c>
      <c r="G11" s="30">
        <f t="shared" si="2"/>
        <v>0.75</v>
      </c>
      <c r="H11" s="30">
        <f t="shared" si="3"/>
        <v>0.75</v>
      </c>
      <c r="I11" s="30" t="str">
        <f t="shared" si="4"/>
        <v/>
      </c>
      <c r="J11" s="30" t="str">
        <f t="shared" si="5"/>
        <v/>
      </c>
    </row>
    <row r="12" ht="15.75" customHeight="1">
      <c r="A12" s="25">
        <f t="shared" si="1"/>
        <v>10</v>
      </c>
      <c r="B12" s="26" t="s">
        <v>68</v>
      </c>
      <c r="C12" s="26" t="s">
        <v>37</v>
      </c>
      <c r="D12" s="27">
        <v>3.0</v>
      </c>
      <c r="E12" s="28">
        <v>12.0</v>
      </c>
      <c r="F12" s="28">
        <v>12.0</v>
      </c>
      <c r="G12" s="30">
        <f t="shared" si="2"/>
        <v>1</v>
      </c>
      <c r="H12" s="30">
        <f t="shared" si="3"/>
        <v>1</v>
      </c>
      <c r="I12" s="30" t="str">
        <f t="shared" si="4"/>
        <v/>
      </c>
      <c r="J12" s="30" t="str">
        <f t="shared" si="5"/>
        <v/>
      </c>
    </row>
    <row r="13" ht="15.75" customHeight="1">
      <c r="A13" s="25">
        <f t="shared" si="1"/>
        <v>11</v>
      </c>
      <c r="B13" s="26" t="s">
        <v>10</v>
      </c>
      <c r="C13" s="26" t="s">
        <v>35</v>
      </c>
      <c r="D13" s="27">
        <v>2.0</v>
      </c>
      <c r="E13" s="28">
        <v>1.0</v>
      </c>
      <c r="F13" s="28">
        <v>1.0</v>
      </c>
      <c r="G13" s="30">
        <f t="shared" si="2"/>
        <v>1</v>
      </c>
      <c r="H13" s="30">
        <f t="shared" si="3"/>
        <v>1</v>
      </c>
      <c r="I13" s="30" t="str">
        <f t="shared" si="4"/>
        <v/>
      </c>
      <c r="J13" s="30" t="str">
        <f t="shared" si="5"/>
        <v/>
      </c>
    </row>
    <row r="14" ht="15.75" customHeight="1">
      <c r="A14" s="25">
        <f t="shared" si="1"/>
        <v>12</v>
      </c>
      <c r="B14" s="26" t="s">
        <v>11</v>
      </c>
      <c r="C14" s="26" t="s">
        <v>38</v>
      </c>
      <c r="D14" s="27">
        <v>2.0</v>
      </c>
      <c r="E14" s="28">
        <v>9.0</v>
      </c>
      <c r="F14" s="28">
        <v>8.0</v>
      </c>
      <c r="G14" s="30">
        <f t="shared" si="2"/>
        <v>0.8888888889</v>
      </c>
      <c r="H14" s="30">
        <f t="shared" si="3"/>
        <v>0.8888888889</v>
      </c>
      <c r="I14" s="30" t="str">
        <f t="shared" si="4"/>
        <v/>
      </c>
      <c r="J14" s="30" t="str">
        <f t="shared" si="5"/>
        <v/>
      </c>
    </row>
    <row r="15" ht="15.75" customHeight="1">
      <c r="A15" s="25">
        <f t="shared" si="1"/>
        <v>13</v>
      </c>
      <c r="B15" s="26" t="s">
        <v>12</v>
      </c>
      <c r="C15" s="26" t="s">
        <v>35</v>
      </c>
      <c r="D15" s="27">
        <v>2.0</v>
      </c>
      <c r="E15" s="28">
        <v>1.0</v>
      </c>
      <c r="F15" s="28">
        <v>1.0</v>
      </c>
      <c r="G15" s="30">
        <f t="shared" si="2"/>
        <v>1</v>
      </c>
      <c r="H15" s="30">
        <f t="shared" si="3"/>
        <v>1</v>
      </c>
      <c r="I15" s="30" t="str">
        <f t="shared" si="4"/>
        <v/>
      </c>
      <c r="J15" s="30" t="str">
        <f t="shared" si="5"/>
        <v/>
      </c>
    </row>
    <row r="16" ht="15.75" customHeight="1">
      <c r="A16" s="25">
        <f t="shared" si="1"/>
        <v>14</v>
      </c>
      <c r="B16" s="26" t="s">
        <v>13</v>
      </c>
      <c r="C16" s="26" t="s">
        <v>36</v>
      </c>
      <c r="D16" s="27">
        <v>3.0</v>
      </c>
      <c r="E16" s="28">
        <v>1.0</v>
      </c>
      <c r="F16" s="28">
        <v>1.0</v>
      </c>
      <c r="G16" s="30">
        <f t="shared" si="2"/>
        <v>1</v>
      </c>
      <c r="H16" s="30">
        <f t="shared" si="3"/>
        <v>1</v>
      </c>
      <c r="I16" s="30" t="str">
        <f t="shared" si="4"/>
        <v/>
      </c>
      <c r="J16" s="30" t="str">
        <f t="shared" si="5"/>
        <v/>
      </c>
    </row>
    <row r="17" ht="15.75" customHeight="1">
      <c r="A17" s="25">
        <f t="shared" si="1"/>
        <v>15</v>
      </c>
      <c r="B17" s="26" t="s">
        <v>14</v>
      </c>
      <c r="C17" s="26" t="s">
        <v>39</v>
      </c>
      <c r="D17" s="27">
        <v>6.0</v>
      </c>
      <c r="E17" s="28">
        <v>20.0</v>
      </c>
      <c r="F17" s="28">
        <v>19.0</v>
      </c>
      <c r="G17" s="30">
        <f t="shared" si="2"/>
        <v>0.95</v>
      </c>
      <c r="H17" s="30">
        <f t="shared" si="3"/>
        <v>0.95</v>
      </c>
      <c r="I17" s="30" t="str">
        <f t="shared" si="4"/>
        <v/>
      </c>
      <c r="J17" s="30" t="str">
        <f t="shared" si="5"/>
        <v/>
      </c>
    </row>
    <row r="18" ht="15.75" customHeight="1">
      <c r="A18" s="25">
        <f t="shared" si="1"/>
        <v>16</v>
      </c>
      <c r="B18" s="26" t="s">
        <v>15</v>
      </c>
      <c r="C18" s="26" t="s">
        <v>40</v>
      </c>
      <c r="D18" s="27">
        <v>6.0</v>
      </c>
      <c r="E18" s="28">
        <v>60.0</v>
      </c>
      <c r="F18" s="28">
        <v>30.0</v>
      </c>
      <c r="G18" s="30">
        <f t="shared" si="2"/>
        <v>0.5</v>
      </c>
      <c r="H18" s="30">
        <f t="shared" si="3"/>
        <v>0.5</v>
      </c>
      <c r="I18" s="30" t="str">
        <f t="shared" si="4"/>
        <v/>
      </c>
      <c r="J18" s="30" t="str">
        <f t="shared" si="5"/>
        <v/>
      </c>
    </row>
    <row r="19" ht="15.75" customHeight="1">
      <c r="A19" s="25">
        <f t="shared" si="1"/>
        <v>17</v>
      </c>
      <c r="B19" s="26" t="s">
        <v>16</v>
      </c>
      <c r="C19" s="26" t="s">
        <v>35</v>
      </c>
      <c r="D19" s="27">
        <v>2.0</v>
      </c>
      <c r="E19" s="28">
        <v>1.0</v>
      </c>
      <c r="F19" s="28">
        <v>1.0</v>
      </c>
      <c r="G19" s="30">
        <f t="shared" si="2"/>
        <v>1</v>
      </c>
      <c r="H19" s="30">
        <f t="shared" si="3"/>
        <v>1</v>
      </c>
      <c r="I19" s="30" t="str">
        <f t="shared" si="4"/>
        <v/>
      </c>
      <c r="J19" s="30" t="str">
        <f t="shared" si="5"/>
        <v/>
      </c>
    </row>
    <row r="20" ht="15.75" customHeight="1">
      <c r="A20" s="25">
        <f t="shared" si="1"/>
        <v>18</v>
      </c>
      <c r="B20" s="26" t="s">
        <v>17</v>
      </c>
      <c r="C20" s="26" t="s">
        <v>35</v>
      </c>
      <c r="D20" s="27">
        <v>2.0</v>
      </c>
      <c r="E20" s="28">
        <v>1.0</v>
      </c>
      <c r="F20" s="28">
        <v>0.0</v>
      </c>
      <c r="G20" s="30">
        <f t="shared" si="2"/>
        <v>0</v>
      </c>
      <c r="H20" s="30">
        <f t="shared" si="3"/>
        <v>0</v>
      </c>
      <c r="I20" s="30" t="str">
        <f t="shared" si="4"/>
        <v/>
      </c>
      <c r="J20" s="30" t="str">
        <f t="shared" si="5"/>
        <v/>
      </c>
    </row>
    <row r="21" ht="15.75" customHeight="1">
      <c r="A21" s="25">
        <f t="shared" si="1"/>
        <v>19</v>
      </c>
      <c r="B21" s="26" t="s">
        <v>18</v>
      </c>
      <c r="C21" s="26" t="s">
        <v>41</v>
      </c>
      <c r="D21" s="27">
        <v>3.0</v>
      </c>
      <c r="E21" s="28">
        <v>3.0</v>
      </c>
      <c r="F21" s="28">
        <v>3.0</v>
      </c>
      <c r="G21" s="30">
        <f t="shared" si="2"/>
        <v>1</v>
      </c>
      <c r="H21" s="30">
        <f t="shared" si="3"/>
        <v>1</v>
      </c>
      <c r="I21" s="30" t="str">
        <f t="shared" si="4"/>
        <v/>
      </c>
      <c r="J21" s="30" t="str">
        <f t="shared" si="5"/>
        <v/>
      </c>
    </row>
    <row r="22" ht="15.75" customHeight="1">
      <c r="A22" s="25">
        <f t="shared" si="1"/>
        <v>20</v>
      </c>
      <c r="B22" s="26" t="s">
        <v>19</v>
      </c>
      <c r="C22" s="26" t="s">
        <v>35</v>
      </c>
      <c r="D22" s="27">
        <v>3.0</v>
      </c>
      <c r="E22" s="28">
        <v>1.0</v>
      </c>
      <c r="F22" s="28">
        <v>1.0</v>
      </c>
      <c r="G22" s="30">
        <f t="shared" si="2"/>
        <v>1</v>
      </c>
      <c r="H22" s="30">
        <f t="shared" si="3"/>
        <v>1</v>
      </c>
      <c r="I22" s="30" t="str">
        <f t="shared" si="4"/>
        <v/>
      </c>
      <c r="J22" s="30" t="str">
        <f t="shared" si="5"/>
        <v/>
      </c>
    </row>
    <row r="23" ht="15.75" customHeight="1">
      <c r="A23" s="25">
        <f t="shared" si="1"/>
        <v>21</v>
      </c>
      <c r="B23" s="26" t="s">
        <v>20</v>
      </c>
      <c r="C23" s="26" t="s">
        <v>42</v>
      </c>
      <c r="D23" s="27">
        <v>2.0</v>
      </c>
      <c r="E23" s="28">
        <v>2.0</v>
      </c>
      <c r="F23" s="28">
        <v>1.0</v>
      </c>
      <c r="G23" s="30">
        <f t="shared" si="2"/>
        <v>0.5</v>
      </c>
      <c r="H23" s="30">
        <f t="shared" si="3"/>
        <v>0.5</v>
      </c>
      <c r="I23" s="30" t="str">
        <f t="shared" si="4"/>
        <v/>
      </c>
      <c r="J23" s="30" t="str">
        <f t="shared" si="5"/>
        <v/>
      </c>
    </row>
    <row r="24" ht="15.75" customHeight="1">
      <c r="A24" s="25">
        <f t="shared" si="1"/>
        <v>22</v>
      </c>
      <c r="B24" s="26" t="s">
        <v>21</v>
      </c>
      <c r="C24" s="26" t="s">
        <v>43</v>
      </c>
      <c r="D24" s="27">
        <v>2.0</v>
      </c>
      <c r="E24" s="28">
        <v>2.0</v>
      </c>
      <c r="F24" s="28">
        <v>2.0</v>
      </c>
      <c r="G24" s="30">
        <f t="shared" si="2"/>
        <v>1</v>
      </c>
      <c r="H24" s="30">
        <f t="shared" si="3"/>
        <v>1</v>
      </c>
      <c r="I24" s="30" t="str">
        <f t="shared" si="4"/>
        <v/>
      </c>
      <c r="J24" s="30" t="str">
        <f t="shared" si="5"/>
        <v/>
      </c>
    </row>
    <row r="25" ht="15.75" customHeight="1">
      <c r="A25" s="25">
        <f t="shared" si="1"/>
        <v>23</v>
      </c>
      <c r="B25" s="26" t="s">
        <v>23</v>
      </c>
      <c r="C25" s="26" t="s">
        <v>45</v>
      </c>
      <c r="D25" s="27">
        <v>2.0</v>
      </c>
      <c r="E25" s="28">
        <v>3.0</v>
      </c>
      <c r="F25" s="28">
        <v>2.0</v>
      </c>
      <c r="G25" s="30">
        <f t="shared" si="2"/>
        <v>0.6666666667</v>
      </c>
      <c r="H25" s="30">
        <f t="shared" si="3"/>
        <v>0.6666666667</v>
      </c>
      <c r="I25" s="30" t="str">
        <f t="shared" si="4"/>
        <v/>
      </c>
      <c r="J25" s="30" t="str">
        <f t="shared" si="5"/>
        <v/>
      </c>
    </row>
    <row r="26" ht="15.75" customHeight="1">
      <c r="A26" s="25">
        <f t="shared" si="1"/>
        <v>24</v>
      </c>
      <c r="B26" s="26" t="s">
        <v>24</v>
      </c>
      <c r="C26" s="26" t="s">
        <v>42</v>
      </c>
      <c r="D26" s="27">
        <v>1.0</v>
      </c>
      <c r="E26" s="28">
        <v>2.0</v>
      </c>
      <c r="F26" s="28">
        <v>1.0</v>
      </c>
      <c r="G26" s="30">
        <f t="shared" si="2"/>
        <v>0.5</v>
      </c>
      <c r="H26" s="30">
        <f t="shared" si="3"/>
        <v>0.5</v>
      </c>
      <c r="I26" s="30" t="str">
        <f t="shared" si="4"/>
        <v/>
      </c>
      <c r="J26" s="30" t="str">
        <f t="shared" si="5"/>
        <v/>
      </c>
    </row>
    <row r="27" ht="15.75" customHeight="1">
      <c r="A27" s="25">
        <f t="shared" si="1"/>
        <v>25</v>
      </c>
      <c r="B27" s="26" t="s">
        <v>25</v>
      </c>
      <c r="C27" s="26" t="s">
        <v>46</v>
      </c>
      <c r="D27" s="27">
        <v>3.0</v>
      </c>
      <c r="E27" s="28">
        <v>384.0</v>
      </c>
      <c r="F27" s="28">
        <v>150.0</v>
      </c>
      <c r="G27" s="30">
        <f t="shared" si="2"/>
        <v>0.390625</v>
      </c>
      <c r="H27" s="30">
        <f t="shared" si="3"/>
        <v>0.390625</v>
      </c>
      <c r="I27" s="30" t="str">
        <f t="shared" si="4"/>
        <v/>
      </c>
      <c r="J27" s="30" t="str">
        <f t="shared" si="5"/>
        <v/>
      </c>
    </row>
    <row r="28" ht="15.75" customHeight="1">
      <c r="A28" s="25">
        <f t="shared" si="1"/>
        <v>26</v>
      </c>
      <c r="B28" s="26" t="s">
        <v>26</v>
      </c>
      <c r="C28" s="26" t="s">
        <v>47</v>
      </c>
      <c r="D28" s="27">
        <v>2.0</v>
      </c>
      <c r="E28" s="28">
        <v>1.0</v>
      </c>
      <c r="F28" s="28">
        <v>1.0</v>
      </c>
      <c r="G28" s="30">
        <f t="shared" si="2"/>
        <v>1</v>
      </c>
      <c r="H28" s="30">
        <f t="shared" si="3"/>
        <v>1</v>
      </c>
      <c r="I28" s="30" t="str">
        <f t="shared" si="4"/>
        <v/>
      </c>
      <c r="J28" s="30" t="str">
        <f t="shared" si="5"/>
        <v/>
      </c>
    </row>
    <row r="29" ht="15.75" customHeight="1">
      <c r="A29" s="25">
        <f t="shared" si="1"/>
        <v>27</v>
      </c>
      <c r="B29" s="26" t="s">
        <v>27</v>
      </c>
      <c r="C29" s="26" t="s">
        <v>48</v>
      </c>
      <c r="D29" s="27">
        <v>1.0</v>
      </c>
      <c r="E29" s="28">
        <v>2.0</v>
      </c>
      <c r="F29" s="28">
        <v>1.0</v>
      </c>
      <c r="G29" s="30">
        <f t="shared" si="2"/>
        <v>0.5</v>
      </c>
      <c r="H29" s="30">
        <f t="shared" si="3"/>
        <v>0.5</v>
      </c>
      <c r="I29" s="30" t="str">
        <f t="shared" si="4"/>
        <v/>
      </c>
      <c r="J29" s="30" t="str">
        <f t="shared" si="5"/>
        <v/>
      </c>
    </row>
    <row r="30" ht="15.75" customHeight="1">
      <c r="A30" s="25">
        <f t="shared" si="1"/>
        <v>28</v>
      </c>
      <c r="B30" s="26" t="s">
        <v>28</v>
      </c>
      <c r="C30" s="26" t="s">
        <v>49</v>
      </c>
      <c r="D30" s="27">
        <v>1.0</v>
      </c>
      <c r="E30" s="28">
        <v>100.0</v>
      </c>
      <c r="F30" s="28">
        <v>80.0</v>
      </c>
      <c r="G30" s="30">
        <f t="shared" si="2"/>
        <v>0.8</v>
      </c>
      <c r="H30" s="30">
        <f t="shared" si="3"/>
        <v>0.8</v>
      </c>
      <c r="I30" s="30" t="str">
        <f t="shared" si="4"/>
        <v/>
      </c>
      <c r="J30" s="30" t="str">
        <f t="shared" si="5"/>
        <v/>
      </c>
    </row>
    <row r="31" ht="15.75" customHeight="1">
      <c r="A31" s="25">
        <f t="shared" si="1"/>
        <v>29</v>
      </c>
      <c r="B31" s="26" t="s">
        <v>29</v>
      </c>
      <c r="C31" s="26" t="s">
        <v>34</v>
      </c>
      <c r="D31" s="27">
        <v>2.0</v>
      </c>
      <c r="E31" s="28">
        <v>34.0</v>
      </c>
      <c r="F31" s="28">
        <v>30.0</v>
      </c>
      <c r="G31" s="30">
        <f t="shared" si="2"/>
        <v>0.8823529412</v>
      </c>
      <c r="H31" s="30">
        <f t="shared" si="3"/>
        <v>0.8823529412</v>
      </c>
      <c r="I31" s="30" t="str">
        <f t="shared" si="4"/>
        <v/>
      </c>
      <c r="J31" s="30" t="str">
        <f t="shared" si="5"/>
        <v/>
      </c>
    </row>
    <row r="32" ht="15.75" customHeight="1">
      <c r="A32" s="25">
        <f t="shared" si="1"/>
        <v>30</v>
      </c>
      <c r="B32" s="26" t="s">
        <v>30</v>
      </c>
      <c r="C32" s="26" t="s">
        <v>34</v>
      </c>
      <c r="D32" s="27">
        <v>2.0</v>
      </c>
      <c r="E32" s="28">
        <v>75.0</v>
      </c>
      <c r="F32" s="28">
        <v>70.0</v>
      </c>
      <c r="G32" s="30">
        <f t="shared" si="2"/>
        <v>0.9333333333</v>
      </c>
      <c r="H32" s="30">
        <f t="shared" si="3"/>
        <v>0.9333333333</v>
      </c>
      <c r="I32" s="30" t="str">
        <f t="shared" si="4"/>
        <v/>
      </c>
      <c r="J32" s="30" t="str">
        <f t="shared" si="5"/>
        <v/>
      </c>
    </row>
    <row r="33" ht="15.75" customHeight="1">
      <c r="A33" s="25">
        <f t="shared" si="1"/>
        <v>31</v>
      </c>
      <c r="B33" s="26" t="s">
        <v>31</v>
      </c>
      <c r="C33" s="26" t="s">
        <v>34</v>
      </c>
      <c r="D33" s="27">
        <v>2.0</v>
      </c>
      <c r="E33" s="28">
        <v>46.0</v>
      </c>
      <c r="F33" s="28">
        <v>40.0</v>
      </c>
      <c r="G33" s="30">
        <f t="shared" si="2"/>
        <v>0.8695652174</v>
      </c>
      <c r="H33" s="30">
        <f t="shared" si="3"/>
        <v>0.8695652174</v>
      </c>
      <c r="I33" s="30" t="str">
        <f t="shared" si="4"/>
        <v/>
      </c>
      <c r="J33" s="30" t="str">
        <f t="shared" si="5"/>
        <v/>
      </c>
    </row>
    <row r="34" ht="15.75" customHeight="1">
      <c r="A34" s="25">
        <f t="shared" si="1"/>
        <v>32</v>
      </c>
      <c r="B34" s="26" t="s">
        <v>32</v>
      </c>
      <c r="C34" s="26" t="s">
        <v>34</v>
      </c>
      <c r="D34" s="27">
        <v>1.0</v>
      </c>
      <c r="E34" s="28">
        <v>34.0</v>
      </c>
      <c r="F34" s="28">
        <v>20.0</v>
      </c>
      <c r="G34" s="30">
        <f t="shared" si="2"/>
        <v>0.5882352941</v>
      </c>
      <c r="H34" s="30">
        <f t="shared" si="3"/>
        <v>0.5882352941</v>
      </c>
      <c r="I34" s="30" t="str">
        <f t="shared" si="4"/>
        <v/>
      </c>
      <c r="J34" s="30" t="str">
        <f t="shared" si="5"/>
        <v/>
      </c>
    </row>
    <row r="35" ht="15.75" customHeight="1">
      <c r="A35" s="25">
        <f t="shared" si="1"/>
        <v>33</v>
      </c>
      <c r="B35" s="26" t="s">
        <v>33</v>
      </c>
      <c r="C35" s="26" t="s">
        <v>34</v>
      </c>
      <c r="D35" s="27">
        <v>1.0</v>
      </c>
      <c r="E35" s="28">
        <v>41.0</v>
      </c>
      <c r="F35" s="28">
        <v>30.0</v>
      </c>
      <c r="G35" s="30">
        <f t="shared" si="2"/>
        <v>0.7317073171</v>
      </c>
      <c r="H35" s="30">
        <f t="shared" si="3"/>
        <v>0.7317073171</v>
      </c>
      <c r="I35" s="30" t="str">
        <f t="shared" si="4"/>
        <v/>
      </c>
      <c r="J35" s="30" t="str">
        <f t="shared" si="5"/>
        <v/>
      </c>
    </row>
    <row r="36" ht="15.75" customHeight="1">
      <c r="A36" s="31" t="s">
        <v>69</v>
      </c>
      <c r="B36" s="32"/>
      <c r="C36" s="19"/>
      <c r="D36" s="33">
        <f t="shared" ref="D36:F36" si="6">SUM(D3:D35)</f>
        <v>100</v>
      </c>
      <c r="E36" s="34">
        <f t="shared" si="6"/>
        <v>1051</v>
      </c>
      <c r="F36" s="33">
        <f t="shared" si="6"/>
        <v>706</v>
      </c>
      <c r="G36" s="35">
        <f t="shared" si="2"/>
        <v>0.6717411989</v>
      </c>
      <c r="H36" s="35">
        <f t="shared" si="3"/>
        <v>0.6717411989</v>
      </c>
      <c r="I36" s="35" t="s">
        <v>70</v>
      </c>
      <c r="J36" s="35" t="s">
        <v>70</v>
      </c>
    </row>
    <row r="37" ht="15.75" customHeight="1">
      <c r="A37" s="36" t="s">
        <v>71</v>
      </c>
      <c r="B37" s="32"/>
      <c r="C37" s="32"/>
      <c r="D37" s="32"/>
      <c r="E37" s="32"/>
      <c r="F37" s="32"/>
      <c r="G37" s="19"/>
      <c r="H37" s="37">
        <f>sumproduct(D3:D35,H3:H35)/D36</f>
        <v>0.8427108429</v>
      </c>
      <c r="I37" s="38">
        <f>sumproduct(D3:D35,I3:I35)/D36</f>
        <v>0.0630952381</v>
      </c>
      <c r="J37" s="38">
        <f>sumproduct(D3:D35,J3:J35)/D36</f>
        <v>0.05476190476</v>
      </c>
    </row>
    <row r="38" ht="15.75" customHeight="1">
      <c r="A38" s="36" t="s">
        <v>72</v>
      </c>
      <c r="B38" s="32"/>
      <c r="C38" s="32"/>
      <c r="D38" s="32"/>
      <c r="E38" s="32"/>
      <c r="F38" s="32"/>
      <c r="G38" s="19"/>
      <c r="H38" s="39">
        <f>H37+min(J37,0.05)</f>
        <v>0.8927108429</v>
      </c>
      <c r="I38" s="32"/>
      <c r="J38" s="1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6:C36"/>
    <mergeCell ref="A37:G37"/>
    <mergeCell ref="A38:G38"/>
    <mergeCell ref="H38:J38"/>
    <mergeCell ref="A1:A2"/>
    <mergeCell ref="B1:C2"/>
    <mergeCell ref="D1:D2"/>
    <mergeCell ref="E1:E2"/>
    <mergeCell ref="F1:F2"/>
    <mergeCell ref="G1:H1"/>
    <mergeCell ref="I1:J1"/>
  </mergeCells>
  <conditionalFormatting sqref="G3:G35">
    <cfRule type="cellIs" dxfId="0" priority="1" operator="greaterThan">
      <formula>1</formula>
    </cfRule>
  </conditionalFormatting>
  <conditionalFormatting sqref="H3:H35">
    <cfRule type="expression" dxfId="0" priority="2">
      <formula>H3&lt;G3</formula>
    </cfRule>
  </conditionalFormatting>
  <conditionalFormatting sqref="H3:H35">
    <cfRule type="cellIs" dxfId="1" priority="3" operator="equal">
      <formula>1</formula>
    </cfRule>
  </conditionalFormatting>
  <conditionalFormatting sqref="G3:G35">
    <cfRule type="cellIs" dxfId="1" priority="4" operator="equal">
      <formula>1</formula>
    </cfRule>
  </conditionalFormatting>
  <conditionalFormatting sqref="J3:J35">
    <cfRule type="expression" dxfId="2" priority="5">
      <formula>J3&lt;I3</formula>
    </cfRule>
  </conditionalFormatting>
  <conditionalFormatting sqref="I3:I35">
    <cfRule type="cellIs" dxfId="3" priority="6" operator="greaterThan">
      <formula>1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